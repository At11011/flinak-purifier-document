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ification" sheetId="1" r:id="rId4"/>
    <sheet state="visible" name="Connections" sheetId="2" r:id="rId5"/>
    <sheet state="visible" name="Electrocell" sheetId="3" r:id="rId6"/>
    <sheet state="visible" name="4-point" sheetId="4" r:id="rId7"/>
  </sheets>
  <definedNames>
    <definedName hidden="1" localSheetId="0" name="_xlnm._FilterDatabase">Purification!$A$4:$L$4</definedName>
    <definedName hidden="1" localSheetId="2" name="_xlnm._FilterDatabase">Electrocell!$A$5:$M$48</definedName>
  </definedNames>
  <calcPr/>
  <extLst>
    <ext uri="GoogleSheetsCustomDataVersion2">
      <go:sheetsCustomData xmlns:go="http://customooxmlschemas.google.com/" r:id="rId8" roundtripDataChecksum="I1Dpo1Sn34muSasKKfvIDypMLsUsZbgPzlv+Ygi9lhg="/>
    </ext>
  </extLst>
</workbook>
</file>

<file path=xl/sharedStrings.xml><?xml version="1.0" encoding="utf-8"?>
<sst xmlns="http://schemas.openxmlformats.org/spreadsheetml/2006/main" count="1176" uniqueCount="541">
  <si>
    <t>Rough Total</t>
  </si>
  <si>
    <t>short</t>
  </si>
  <si>
    <t>1-2 days</t>
  </si>
  <si>
    <t>medium</t>
  </si>
  <si>
    <t>weeks</t>
  </si>
  <si>
    <t>Equipment</t>
  </si>
  <si>
    <t>Brand</t>
  </si>
  <si>
    <t>Model</t>
  </si>
  <si>
    <t>Type</t>
  </si>
  <si>
    <t>Cost</t>
  </si>
  <si>
    <t>Quantity</t>
  </si>
  <si>
    <t>Extra Comments</t>
  </si>
  <si>
    <t>Posession Status</t>
  </si>
  <si>
    <t>Used in Build</t>
  </si>
  <si>
    <t>Lead Time</t>
  </si>
  <si>
    <t>Company Hassle</t>
  </si>
  <si>
    <t>long</t>
  </si>
  <si>
    <t>month</t>
  </si>
  <si>
    <t>Non-corrosive Mass Flow Controller</t>
  </si>
  <si>
    <t>Aalborg</t>
  </si>
  <si>
    <t>GFC17A-BAL6-A0</t>
  </si>
  <si>
    <t>electronic</t>
  </si>
  <si>
    <t>for H2: THERMAL MFC 316 SS PTFE/KALREZ 1/4"COMPR FTG LCD DISPLAY 0-5VDC/4-20MA Hydrogen H2 0-2 STD L/MIN STD METERING PRESS [14.7PSIA] STD TEMP [21.1øC/70øF] 
for Ar: THERMAL MFC ALUMINUM BUNA-N 1/4"COMPR FTG LCD DISPLAY 0-5VDC/4-20MA Argon Ar 0-2 STD L/MIN STD METERING PRESS [14.7PSIA] STD TEMP [21.1øC/70øF]</t>
  </si>
  <si>
    <t>arrived</t>
  </si>
  <si>
    <t>yes</t>
  </si>
  <si>
    <t>no</t>
  </si>
  <si>
    <t>very long</t>
  </si>
  <si>
    <t>2 months+</t>
  </si>
  <si>
    <t>Corrosive Mass Flow Controller</t>
  </si>
  <si>
    <t>Teledyne Hastings</t>
  </si>
  <si>
    <t>HFC-D-302B(H)</t>
  </si>
  <si>
    <t>Standard output, fittings, display, working pressure, &amp; calibration type</t>
  </si>
  <si>
    <t>Norman Filters Woven Mesh Filter U-91560</t>
  </si>
  <si>
    <t>Norman Filters</t>
  </si>
  <si>
    <t>4325TG-10V</t>
  </si>
  <si>
    <t>piping</t>
  </si>
  <si>
    <t>316SS mesh; for 1/2" tube</t>
  </si>
  <si>
    <t>custom part</t>
  </si>
  <si>
    <t>1/4" C-276 Ball Valves</t>
  </si>
  <si>
    <t>Swagelok</t>
  </si>
  <si>
    <t>HC-62TS4</t>
  </si>
  <si>
    <t>1/2" C-276 Ball Valves</t>
  </si>
  <si>
    <t>HC-63TS8</t>
  </si>
  <si>
    <t>Tube Furnace with Setpoint Control</t>
  </si>
  <si>
    <t>ATS</t>
  </si>
  <si>
    <t>3110-8.25-16-16</t>
  </si>
  <si>
    <t>Tube type construction with stainless steel shell.
-Dimensions: 8.25 in. I.D. x 16 in. O.D. x 13 in. Long
-Elements: Kanthal A1, embedded windings.
-Furnace Temperature Rating: 800 deg. C.
-Single Zone Construction, 10 in. heated length
-Total Power: 5350 Watts/23.2 amps @ 230 VAC, 1Ph, 60 Hz.
-End Disk: 1.5 in. thick, bore 7 in. both ends
-End Caps: 1.5 in. thick, bore 7 in. both ends
-(1) Thermocouple Port: Located midlength of heated zone
-(1) Thermocouple, Type K, with ceramic insulator
-(1) Thermocouple, Type K, connector with mounting bracket
-(1 set) Support Brackets for vertical mount</t>
  </si>
  <si>
    <t>1/2" C-276 Tubing</t>
  </si>
  <si>
    <t>HC-T8-S-049-20P</t>
  </si>
  <si>
    <t>ft</t>
  </si>
  <si>
    <t>1/4" C-276 Tubing</t>
  </si>
  <si>
    <t>HC-T4-S-035-20P</t>
  </si>
  <si>
    <t>2L PTFE Scrubber Vessel</t>
  </si>
  <si>
    <t>VWR</t>
  </si>
  <si>
    <t>89026-028</t>
  </si>
  <si>
    <t>scrubber</t>
  </si>
  <si>
    <t>5L PTFE Scrubber Vessels</t>
  </si>
  <si>
    <t>89026-020</t>
  </si>
  <si>
    <t>1/4" ID PTFE Tubing</t>
  </si>
  <si>
    <t>VWR/Thermo Scientific</t>
  </si>
  <si>
    <t>63014-713</t>
  </si>
  <si>
    <t>HF Fumes Detector</t>
  </si>
  <si>
    <t>VWR/GfG Instrumentation</t>
  </si>
  <si>
    <t>76334-718</t>
  </si>
  <si>
    <t>Range: 0-10 ppm, Resolution: 0.1 ppm</t>
  </si>
  <si>
    <t>HF Gas Cylinder</t>
  </si>
  <si>
    <t>Linde</t>
  </si>
  <si>
    <t>UN1052</t>
  </si>
  <si>
    <t>gas</t>
  </si>
  <si>
    <t>4.5 L (3.8kg) filled, 30" tall with valve, 4.5" diameter</t>
  </si>
  <si>
    <t>long - very long</t>
  </si>
  <si>
    <t>supply issues</t>
  </si>
  <si>
    <t>Ar Gas Cylinder</t>
  </si>
  <si>
    <t xml:space="preserve">Brazos Welding </t>
  </si>
  <si>
    <t>Scale</t>
  </si>
  <si>
    <t>Mettler Toledo</t>
  </si>
  <si>
    <t>H-5275</t>
  </si>
  <si>
    <t>Mettler-Toledo™ BC60 Parcel Scale - 150 lbs x .05 lb</t>
  </si>
  <si>
    <t>Thermocouple</t>
  </si>
  <si>
    <t>Pyromation</t>
  </si>
  <si>
    <t>GP02</t>
  </si>
  <si>
    <t>K-type, 16in long sheath, 1/4in diameter sheath, 1/2in screw connection, 4-20 mA output, 0-900C range</t>
  </si>
  <si>
    <t>3/4" to 1/2" 316SS Union</t>
  </si>
  <si>
    <t>SS-1210-6-8</t>
  </si>
  <si>
    <t>1/2" to 3/8" 316SS Union</t>
  </si>
  <si>
    <t>SS-810-6-6</t>
  </si>
  <si>
    <t>1/2" to 1/4" 316SS Union</t>
  </si>
  <si>
    <t>SS-810-6-4</t>
  </si>
  <si>
    <t>3/8" to 1/4" 316SS Union</t>
  </si>
  <si>
    <t>SS-600-6-4</t>
  </si>
  <si>
    <t>1/2" C-276 Union</t>
  </si>
  <si>
    <t>HC-810-6</t>
  </si>
  <si>
    <t>1/4" 316SS Cross Union</t>
  </si>
  <si>
    <t>SS-400-4</t>
  </si>
  <si>
    <t>1/2" OD x 25" L x 1/8" T Ni-200 Tube</t>
  </si>
  <si>
    <t>Magellan Metals</t>
  </si>
  <si>
    <t>3/8" OD x 23" L x 1/16" T Ni-200 Tube</t>
  </si>
  <si>
    <t>1/8" OD x 4" L x 1/32" T Ni-200 Tube</t>
  </si>
  <si>
    <t>28" L x 18" W x 1/8" T Ni-200 Plate</t>
  </si>
  <si>
    <t>vessel</t>
  </si>
  <si>
    <t>8" FOD x 16" L 316SS Half Nipple</t>
  </si>
  <si>
    <t>Kurt Lesker</t>
  </si>
  <si>
    <t>8"OAL, 10"CF FIXED FLANGE, 8"OD X .120" WALL TUBING. OPEN END OF TUBE WILL BE UNCAPPED. FLANGE SIDE OF TUBING WILL BE BLANKED
MATERIAL: 316LN SS FLANGE WITH TUBING/DISC FROM 316/316L SS
FINISH: POLISHED TUBE. CAPPED END OF TUBE WILL BE EITHER DA FINISH OR BRUSH FINISH.</t>
  </si>
  <si>
    <t>yes &amp; custom part</t>
  </si>
  <si>
    <t>316SS Plate</t>
  </si>
  <si>
    <t>McMaster Carr</t>
  </si>
  <si>
    <t>8" L x 8" W x 1/4" T</t>
  </si>
  <si>
    <t>Residual Gas Analyzer</t>
  </si>
  <si>
    <t>Stanford Research Systems</t>
  </si>
  <si>
    <t>RGA 100</t>
  </si>
  <si>
    <t>Fire Brick</t>
  </si>
  <si>
    <t>Lynn Manufacturing</t>
  </si>
  <si>
    <t>K-23</t>
  </si>
  <si>
    <t>heating</t>
  </si>
  <si>
    <t>9" x 4.5" x 2.5"</t>
  </si>
  <si>
    <t>Ceramic Fiber Blanket</t>
  </si>
  <si>
    <t>25" x 24" x 0.5"</t>
  </si>
  <si>
    <t>C-276 Rupure Disk Housing</t>
  </si>
  <si>
    <t>Alpha Process Sales</t>
  </si>
  <si>
    <t>1/2" Swagelok Connection, 80 psi, 50C, 316SS outlet</t>
  </si>
  <si>
    <t>^ machining costs</t>
  </si>
  <si>
    <t>BS&amp;B Safety Systems</t>
  </si>
  <si>
    <t>Parr Instruments</t>
  </si>
  <si>
    <t>A472E5</t>
  </si>
  <si>
    <t>Thermocouple, type-J, 21-1/2” 1/8, T316</t>
  </si>
  <si>
    <t>Heating Tape</t>
  </si>
  <si>
    <t>Brisk Heat</t>
  </si>
  <si>
    <t>TBIH051-040-LSE</t>
  </si>
  <si>
    <t>120 VAC, max temp 900°F, leads same ends, 2 ft</t>
  </si>
  <si>
    <t>PTFE Bottle</t>
  </si>
  <si>
    <t>Lab Depot</t>
  </si>
  <si>
    <t>500 mL</t>
  </si>
  <si>
    <t>Hydrogen Generator</t>
  </si>
  <si>
    <t>Peak Scientific</t>
  </si>
  <si>
    <t>Trace 1200cc, 100-230V, 8L bottle</t>
  </si>
  <si>
    <t>1/4" 316SS Needle Valve</t>
  </si>
  <si>
    <t>SS-1RS4</t>
  </si>
  <si>
    <t>1/4" 316SS Check Valve</t>
  </si>
  <si>
    <t>SS-4C-KZ-1</t>
  </si>
  <si>
    <t>Kynar Seals, 1 psi</t>
  </si>
  <si>
    <t>Turbo Pump</t>
  </si>
  <si>
    <t>Leybold</t>
  </si>
  <si>
    <t>Turbovac 90i / DN 63 CF</t>
  </si>
  <si>
    <t>vacuum</t>
  </si>
  <si>
    <t>4.5" CF flange inlet, KF16 outlet</t>
  </si>
  <si>
    <t>Turbo Pump Power Supply and Cables</t>
  </si>
  <si>
    <t>Turbo.power Integra</t>
  </si>
  <si>
    <t>1/2" 316SS Needle Valve</t>
  </si>
  <si>
    <t>SS-6NBS8(-G)</t>
  </si>
  <si>
    <t>2 have grafoil packing</t>
  </si>
  <si>
    <t>0.3 mm ID PTFE Tubing</t>
  </si>
  <si>
    <t>Omnifit</t>
  </si>
  <si>
    <t>20m length, 1/16" OD</t>
  </si>
  <si>
    <t>1/4" Kynar Tubing</t>
  </si>
  <si>
    <t>Ultra Pure Products</t>
  </si>
  <si>
    <t>RFPVDF-.187-250</t>
  </si>
  <si>
    <t>Oxygen Trap</t>
  </si>
  <si>
    <t>VWR/Restek</t>
  </si>
  <si>
    <t>1/4" swagelok connections</t>
  </si>
  <si>
    <t>1/4" to 1/16" 316SS Union</t>
  </si>
  <si>
    <t>SS-400-6-1FGC</t>
  </si>
  <si>
    <t>4.5" CF 304SS Blank Flange</t>
  </si>
  <si>
    <t>F0450X000N</t>
  </si>
  <si>
    <t>KF16 Flexible Metal Hose</t>
  </si>
  <si>
    <t>LDS Vacuum</t>
  </si>
  <si>
    <t>NW16-MH48-VE</t>
  </si>
  <si>
    <t>48" length, Sealing Rings and clamps included</t>
  </si>
  <si>
    <t>no +</t>
  </si>
  <si>
    <t>KF16 to 1/4" Swagelok Adapter</t>
  </si>
  <si>
    <t>NW16x25SWG-VE</t>
  </si>
  <si>
    <t>Sealing Rings and clamps included</t>
  </si>
  <si>
    <t>KF25 to KF16 Union</t>
  </si>
  <si>
    <t>NW25x16-CR-VE</t>
  </si>
  <si>
    <t>KF25 to 1/4" Swagelok Adapter</t>
  </si>
  <si>
    <t>NW25x25SWG-VE</t>
  </si>
  <si>
    <t>2.75" CF 304SS Blank Flange</t>
  </si>
  <si>
    <t>275-000-VE</t>
  </si>
  <si>
    <t>Nuts, bolts, and washers included</t>
  </si>
  <si>
    <t>2.75" CF to 1/4" Swagelok Adapter</t>
  </si>
  <si>
    <t>275xSWG-25</t>
  </si>
  <si>
    <t>4.5" CF to 2.75" CF Reducer</t>
  </si>
  <si>
    <t>450x275-150-0-T1</t>
  </si>
  <si>
    <t>4.5" CF to 2.75" CF Reducing Cross</t>
  </si>
  <si>
    <t>450x275-RDX</t>
  </si>
  <si>
    <t>KF16 to 1/2" Swagelok Adapter</t>
  </si>
  <si>
    <t>NW16x50SWG-VE</t>
  </si>
  <si>
    <t>KF25 to KF16 Flexible Metal hose</t>
  </si>
  <si>
    <t>NW25x16-MH20-VE</t>
  </si>
  <si>
    <t>20" length, Sealing Rings and clamps included</t>
  </si>
  <si>
    <t>Roughing Pump</t>
  </si>
  <si>
    <t>A-VAC industries</t>
  </si>
  <si>
    <t>Edwards RV5</t>
  </si>
  <si>
    <t>Rebuilt, 4.1 cfm, 1ph, 115/230V</t>
  </si>
  <si>
    <t>1/4" Compression to 3/8" Male NPT PTFE Union</t>
  </si>
  <si>
    <t>VWR/Ace Glass</t>
  </si>
  <si>
    <t>12710-12</t>
  </si>
  <si>
    <t>SS-CHS4-1</t>
  </si>
  <si>
    <t>1 psi</t>
  </si>
  <si>
    <t>1/4" Swagelok to 1/4" Male NPT 316SS Union</t>
  </si>
  <si>
    <t>SS-400-1-4</t>
  </si>
  <si>
    <t>1/4" Swagelok 316SS Elbow Union</t>
  </si>
  <si>
    <t>SS-400-9</t>
  </si>
  <si>
    <t>1/4" Swagelok 316SS Tee Union</t>
  </si>
  <si>
    <t>SS-400-3</t>
  </si>
  <si>
    <t>1/4" 316SS Ball Valve</t>
  </si>
  <si>
    <t>SS-42GS4</t>
  </si>
  <si>
    <t>1 piece, 0.6 Cv</t>
  </si>
  <si>
    <t>SS-43GS4</t>
  </si>
  <si>
    <t>1 piece, 1.4 Cv</t>
  </si>
  <si>
    <t>yes (get more)</t>
  </si>
  <si>
    <t>1/4" 316SS 3-way Ball Valve</t>
  </si>
  <si>
    <t>SS-43GXS4</t>
  </si>
  <si>
    <t>1 piece, 0.9 Cv</t>
  </si>
  <si>
    <t>1/2" 316SS Ball Valve</t>
  </si>
  <si>
    <t>SS-45S8</t>
  </si>
  <si>
    <t>1 piece, 12 Cv</t>
  </si>
  <si>
    <t>1/2" C-276 Needle Valve</t>
  </si>
  <si>
    <t>HC-6NBS8-G-HC</t>
  </si>
  <si>
    <t>Grafoil packing</t>
  </si>
  <si>
    <t>1/4" 316SS Tubing</t>
  </si>
  <si>
    <t>SS-T4-S-035-20</t>
  </si>
  <si>
    <t>in 6ft sections, 0.035" wall thickness, 5100 psi</t>
  </si>
  <si>
    <t>3/4" Swagelok 316SS Union</t>
  </si>
  <si>
    <t>SS-1210-6</t>
  </si>
  <si>
    <t>C-276 Plate</t>
  </si>
  <si>
    <t>0.25" x 2.5" x 6"</t>
  </si>
  <si>
    <t>1/4" CS Tube</t>
  </si>
  <si>
    <t>Earle M. Jorgensen Co</t>
  </si>
  <si>
    <t>Corrosive Gas Regulator</t>
  </si>
  <si>
    <t>Matheson</t>
  </si>
  <si>
    <t>Monel, Single Stage, 1-50 psi, 660 CGA</t>
  </si>
  <si>
    <t>KF16 Ball Valve</t>
  </si>
  <si>
    <t>BVB0075MVQF</t>
  </si>
  <si>
    <t>Ion Pressure Gauge</t>
  </si>
  <si>
    <t>KJLC354401YF</t>
  </si>
  <si>
    <t>2.75" CF connection</t>
  </si>
  <si>
    <t xml:space="preserve">I/O Controller </t>
  </si>
  <si>
    <t>National Instruments</t>
  </si>
  <si>
    <t>781441-01</t>
  </si>
  <si>
    <t>NI USB-6353, X Series DAQ (32 AI, 48 DIO, 4 AO) &amp; Power Cord, AC, U.S., 120 VAC, 2.3 meters</t>
  </si>
  <si>
    <t>ordered</t>
  </si>
  <si>
    <t>Custom part</t>
  </si>
  <si>
    <t>1/4" to 1/8" 316SS Union</t>
  </si>
  <si>
    <t>SS-400-6-2</t>
  </si>
  <si>
    <t>for connecting up the hydrogen generator</t>
  </si>
  <si>
    <t>Heating Tape w/ Controller</t>
  </si>
  <si>
    <t>HSTAT051004</t>
  </si>
  <si>
    <r>
      <rPr>
        <rFont val="Calibri"/>
        <color theme="1"/>
      </rPr>
      <t>4 ft long, 0.5 in wide, 120 V, 144 Watt, 10-218</t>
    </r>
    <r>
      <rPr>
        <rFont val="Calibri"/>
        <color theme="1"/>
        <sz val="11.0"/>
      </rPr>
      <t>°</t>
    </r>
    <r>
      <rPr>
        <rFont val="Calibri"/>
        <color theme="1"/>
        <sz val="11.0"/>
      </rPr>
      <t xml:space="preserve"> C</t>
    </r>
  </si>
  <si>
    <t>Ceramic Fiber Insulation</t>
  </si>
  <si>
    <t>Unitherm</t>
  </si>
  <si>
    <t>CF8-5-24x60in</t>
  </si>
  <si>
    <t>5 ft long, 2 ft wide, 0.5 in thick</t>
  </si>
  <si>
    <t>1/4" Female NPT to Swagelok Monel adapter</t>
  </si>
  <si>
    <t>M-400-7-4</t>
  </si>
  <si>
    <t>DEVICE</t>
  </si>
  <si>
    <t>MANUFACTURER</t>
  </si>
  <si>
    <t>INPUT</t>
  </si>
  <si>
    <t>OUTPUT</t>
  </si>
  <si>
    <t>RESOLUTION</t>
  </si>
  <si>
    <t>SCAN RATE</t>
  </si>
  <si>
    <t>CONNECTION</t>
  </si>
  <si>
    <t>PURPOSE</t>
  </si>
  <si>
    <t>MANUAL / DATASHEET</t>
  </si>
  <si>
    <t>GFC17, S#553674-1</t>
  </si>
  <si>
    <t>0-5 V</t>
  </si>
  <si>
    <t>4-20 mA</t>
  </si>
  <si>
    <t>±0.01 L/min</t>
  </si>
  <si>
    <t>1 sec</t>
  </si>
  <si>
    <t>15-pin</t>
  </si>
  <si>
    <t>Control the flow of Ar into the system</t>
  </si>
  <si>
    <t>https://www.aalborg.com/images/file_to_download/en_Aalborg_EM20220601_GFC.pdf</t>
  </si>
  <si>
    <t>GFC17, S#553673-1</t>
  </si>
  <si>
    <t>Control the flow of H2 into the system</t>
  </si>
  <si>
    <t>https://www.aalborg.com/images/file_to_download/A_GFC%20Manual%20TD9709M%20Rev%20T.pdf</t>
  </si>
  <si>
    <t>HFC-D-302B, S#0975944001</t>
  </si>
  <si>
    <t>9-pin &amp; 24 VDC</t>
  </si>
  <si>
    <t>Control the flow of HF into the system</t>
  </si>
  <si>
    <t>https://www.teledyne-hi.com/resourcecenter/Documents/Manuals/151-HFM-300_HFC-302_Manual.pdf</t>
  </si>
  <si>
    <t>EZ-Zone PM Panel Mount Controller</t>
  </si>
  <si>
    <t>Watlow</t>
  </si>
  <si>
    <t>?</t>
  </si>
  <si>
    <t>0-15 A</t>
  </si>
  <si>
    <t>±1 C</t>
  </si>
  <si>
    <t>Control the temp of the furnace</t>
  </si>
  <si>
    <t>file:///C:/Users/kyles/Downloads/pm%20pid%201.pdf</t>
  </si>
  <si>
    <t>DC Power Suppply 120V 3A</t>
  </si>
  <si>
    <t>Kungber</t>
  </si>
  <si>
    <t>0-3 A</t>
  </si>
  <si>
    <t>0.1 V</t>
  </si>
  <si>
    <t>Control electricity to the heating tape</t>
  </si>
  <si>
    <t>https://www.amazon.com/Kungber-Adjustable-Switching-Regulated-Alligator/dp/B0923L6ZT5/ref=sr_1_1_sspa?crid=F4PJMTUEIKTA&amp;keywords=programmable%2B120v%2Bdc%2Bpower%2Bsupply&amp;qid=1656604315&amp;sprefix=programmable%2B120v%2Bdc%2Bpower%2Bsupply%2Caps%2C77&amp;sr=8-1-spons&amp;spLa=ZW5jcnlwdGVkUXVhbGlmaWVyPUEyTUhFT1pFQk8xV0hFJmVuY3J5cHRlZElkPUEwMzM2OTA0M0dONDZESDFNNFBPViZlbmNyeXB0ZWRBZElkPUEwMzYzNjg1MTZLU1pFWVhVTzA4RiZ3aWRnZXROYW1lPXNwX2F0ZiZhY3Rpb249Y2xpY2tSZWRpcmVjdCZkb05vdExvZ0NsaWNrPXRydWU&amp;th=1</t>
  </si>
  <si>
    <t>Type K Thermocouple MI Cable Probe</t>
  </si>
  <si>
    <t>EvoSensors</t>
  </si>
  <si>
    <t>N/A</t>
  </si>
  <si>
    <t>1 min</t>
  </si>
  <si>
    <t xml:space="preserve">miniature male flat pin </t>
  </si>
  <si>
    <t>Monitor temperature of the salt</t>
  </si>
  <si>
    <t>8 bit (fixed)</t>
  </si>
  <si>
    <t>28800 baud (fixed)</t>
  </si>
  <si>
    <t>Monitor composition of off gas</t>
  </si>
  <si>
    <t>https://www.thinksrs.com/downloads/pdfs/manuals/RGAm.pdf</t>
  </si>
  <si>
    <t>GFG Micro IV G223, S#21056882 &amp; GFG DI220, S#21062601</t>
  </si>
  <si>
    <t>Good for Gas</t>
  </si>
  <si>
    <t>1 ppm</t>
  </si>
  <si>
    <t>USB</t>
  </si>
  <si>
    <t>Detect Leaks of HF outside the system</t>
  </si>
  <si>
    <t>Diffuse Reflection Sensor</t>
  </si>
  <si>
    <t>IFM</t>
  </si>
  <si>
    <t>0-2.5 V</t>
  </si>
  <si>
    <t>10 msec</t>
  </si>
  <si>
    <t>M12</t>
  </si>
  <si>
    <t>Detect whe nthe GFG Micro IV has tripped</t>
  </si>
  <si>
    <t>https://www.ifm.com/download/files/ifm-OGH580-20190312-IODD11-en/$file/ifm-OGH580-20190312-IODD11-en.pdf</t>
  </si>
  <si>
    <t xml:space="preserve">BC60 Parcel Scale </t>
  </si>
  <si>
    <r>
      <rPr>
        <rFont val="Calibri"/>
        <color rgb="FF006100"/>
        <sz val="11.0"/>
      </rPr>
      <t>±0</t>
    </r>
    <r>
      <rPr>
        <rFont val="Calibri"/>
        <color rgb="FF006100"/>
        <sz val="11.0"/>
      </rPr>
      <t>.1 kg</t>
    </r>
  </si>
  <si>
    <t>H-5275-USB</t>
  </si>
  <si>
    <t>Monitor weight of transfer vessel</t>
  </si>
  <si>
    <t>https://www.mt.com/us/en/home/library/operating-instructions/industrial-scales/GSP_BC_Scale_SM.html</t>
  </si>
  <si>
    <t>KJLC 345 Series Hot Filametnt Ion gauge</t>
  </si>
  <si>
    <t>0-9 V</t>
  </si>
  <si>
    <t>± 1 μPa</t>
  </si>
  <si>
    <t>Measure vacuum pressure</t>
  </si>
  <si>
    <t>https://www.lesker.com/newweb/gauges/pdf/11-237-ig-ds-kjlc354seriescontroller.pdf</t>
  </si>
  <si>
    <t>Means not connected</t>
  </si>
  <si>
    <t>Input/Output:</t>
  </si>
  <si>
    <t>everything is analog</t>
  </si>
  <si>
    <t>Means probably wont connect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</si>
  <si>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Corrosive Gas flow controller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</si>
  <si>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2 Non-Corrosive gas flow controllers</t>
    </r>
  </si>
  <si>
    <t>Means has direct computer connection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</si>
  <si>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Furnace controller (maybe)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</si>
  <si>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Power supply (maybe)</t>
    </r>
  </si>
  <si>
    <r>
      <rPr>
        <rFont val="Courier New"/>
        <color theme="1"/>
        <sz val="11.0"/>
      </rPr>
      <t>o</t>
    </r>
    <r>
      <rPr>
        <rFont val="Times New Roman"/>
        <color theme="1"/>
        <sz val="7.0"/>
      </rPr>
      <t xml:space="preserve">   </t>
    </r>
    <r>
      <rPr>
        <rFont val="Calibri"/>
        <color theme="1"/>
        <sz val="11.0"/>
      </rPr>
      <t>3 guaranteed, but up to 5</t>
    </r>
  </si>
  <si>
    <t>Input only:</t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</si>
  <si>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Thermocouple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</si>
  <si>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RGA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</si>
  <si>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HF Detector camera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</si>
  <si>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Scale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</si>
  <si>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H2 Detector  camera (maybe)</t>
    </r>
  </si>
  <si>
    <r>
      <rPr>
        <rFont val="Noto Sans Symbols"/>
        <color theme="1"/>
        <sz val="11.0"/>
      </rPr>
      <t>·</t>
    </r>
    <r>
      <rPr>
        <rFont val="Times New Roman"/>
        <color theme="1"/>
        <sz val="7.0"/>
      </rPr>
      <t xml:space="preserve">         </t>
    </r>
    <r>
      <rPr>
        <rFont val="Calibri"/>
        <color theme="1"/>
        <sz val="11.0"/>
      </rPr>
      <t>pH monitor or camera (maybe)</t>
    </r>
  </si>
  <si>
    <r>
      <rPr>
        <rFont val="Courier New"/>
        <color theme="1"/>
        <sz val="11.0"/>
      </rPr>
      <t>o</t>
    </r>
    <r>
      <rPr>
        <rFont val="Times New Roman"/>
        <color theme="1"/>
        <sz val="7.0"/>
      </rPr>
      <t xml:space="preserve">   </t>
    </r>
    <r>
      <rPr>
        <rFont val="Calibri"/>
        <color theme="1"/>
        <sz val="11.0"/>
      </rPr>
      <t>4 guaranteed, but up to 6</t>
    </r>
  </si>
  <si>
    <t>low</t>
  </si>
  <si>
    <t>high</t>
  </si>
  <si>
    <t>Proposed Total</t>
  </si>
  <si>
    <t>Spent total</t>
  </si>
  <si>
    <t>Total</t>
  </si>
  <si>
    <t>Specifications</t>
  </si>
  <si>
    <t>Purpose</t>
  </si>
  <si>
    <t>Quote / Webpage</t>
  </si>
  <si>
    <t>Electrochemical Workstation</t>
  </si>
  <si>
    <t>Gamry Instruments</t>
  </si>
  <si>
    <t>Interface 1010E</t>
  </si>
  <si>
    <r>
      <rPr>
        <rFont val="Calibri"/>
        <color theme="1"/>
        <sz val="11.0"/>
      </rPr>
      <t>±1A max, ±12V max, EIS 10</t>
    </r>
    <r>
      <rPr>
        <rFont val="Calibri"/>
        <color theme="1"/>
        <sz val="11.0"/>
      </rPr>
      <t>μHz - 2MHz</t>
    </r>
    <r>
      <rPr>
        <rFont val="Calibri"/>
        <color theme="1"/>
        <sz val="11.0"/>
      </rPr>
      <t xml:space="preserve"> </t>
    </r>
  </si>
  <si>
    <t>measure electrochemical potenitals</t>
  </si>
  <si>
    <t xml:space="preserve">https://www.gamry.com/cyclic-voltammetry/#:~:text=Cyclic%20Voltammetry%20(CV)%20is%20the,like%20the%20Gamry%20Interface%201010B. </t>
  </si>
  <si>
    <t>Glassy Carbon Crucible</t>
  </si>
  <si>
    <t>EMC Industries (HTW)</t>
  </si>
  <si>
    <t>GAZ 92</t>
  </si>
  <si>
    <t>88 mm OD, 82 mm ID, 175 mm L, 920 mL -or- 86 mm OD, 80 mm ID, 127 mm L, 570 mL</t>
  </si>
  <si>
    <t>Contain molten salt</t>
  </si>
  <si>
    <t>2 weeks</t>
  </si>
  <si>
    <t>..\..\Downloads\4.11.2023 Quote Texas A&amp;M University.pdf</t>
  </si>
  <si>
    <t>Glassy carbon rod</t>
  </si>
  <si>
    <t>Rod</t>
  </si>
  <si>
    <t>Counter electrode</t>
  </si>
  <si>
    <t>Platinum wire</t>
  </si>
  <si>
    <t>Surepure Chemetals</t>
  </si>
  <si>
    <t>Pt-wire016-02</t>
  </si>
  <si>
    <t>26 gauge (0.4 mm), 99.95% pure, 2ft long</t>
  </si>
  <si>
    <t>Reference electrode</t>
  </si>
  <si>
    <t xml:space="preserve">https://www.surepure.com/Pt-wire016-02/p/3501 </t>
  </si>
  <si>
    <t>Alumina sheet</t>
  </si>
  <si>
    <t>Mcmaster-Carr</t>
  </si>
  <si>
    <t>8978T65</t>
  </si>
  <si>
    <t>6" L, 6" W, 1/4" T</t>
  </si>
  <si>
    <t>Insulate crucible from vessel</t>
  </si>
  <si>
    <t>1 day</t>
  </si>
  <si>
    <t>..\..\Downloads\Electrocell_McMaster-Carr.pdf</t>
  </si>
  <si>
    <t>+ machining costs</t>
  </si>
  <si>
    <t>Alumina tube</t>
  </si>
  <si>
    <t>8746K352</t>
  </si>
  <si>
    <t>1/4" OD, 1/8" ID, 24" L</t>
  </si>
  <si>
    <t>Insulate electrodes</t>
  </si>
  <si>
    <t>8746K362</t>
  </si>
  <si>
    <t>1/4" OD, 0.156" ID, 24" L</t>
  </si>
  <si>
    <t>87175K12</t>
  </si>
  <si>
    <t>1/16" OD, 0.016" ID, 18" L, 2 holes</t>
  </si>
  <si>
    <t>Insulate reference electrode</t>
  </si>
  <si>
    <t>Copper tube</t>
  </si>
  <si>
    <t>8967K88</t>
  </si>
  <si>
    <t>1/4" OD, 0.032" WT, 6' L</t>
  </si>
  <si>
    <t>Offgas tubing</t>
  </si>
  <si>
    <t>PVFD tube</t>
  </si>
  <si>
    <t>51105K21</t>
  </si>
  <si>
    <t>1/4" OD, 1/8" ID, 10' L</t>
  </si>
  <si>
    <t>Ar tubing</t>
  </si>
  <si>
    <t>+ shipping</t>
  </si>
  <si>
    <t>316SS Tube fitting</t>
  </si>
  <si>
    <t>SS-400-6-2BT</t>
  </si>
  <si>
    <t>1/4" to 1/8", bored through</t>
  </si>
  <si>
    <t>hold electrodes</t>
  </si>
  <si>
    <t xml:space="preserve">https://products.swagelok.com/en/c/straights/p/SS-400-6-2BT </t>
  </si>
  <si>
    <t>SS-400-6-1BT</t>
  </si>
  <si>
    <t>1/16" swagelok to 1/4" male NPT, bored through</t>
  </si>
  <si>
    <t>hold reference electrode</t>
  </si>
  <si>
    <t xml:space="preserve">https://products.swagelok.com/en/c/straights/p/SS-400-6-1BT </t>
  </si>
  <si>
    <t>SS-400-1-4BT</t>
  </si>
  <si>
    <t>1/4" swagelok to 1/4" male NPT, bored through</t>
  </si>
  <si>
    <t>hold insulating tubes</t>
  </si>
  <si>
    <t xml:space="preserve">https://products.swagelok.com/en/c/straights/p/SS-400-6BT </t>
  </si>
  <si>
    <t>PTFE ferrules</t>
  </si>
  <si>
    <t>T-400-SET</t>
  </si>
  <si>
    <t>1/4"</t>
  </si>
  <si>
    <t xml:space="preserve">https://products.swagelok.com/en/c/ferrule-sets/p/T-400-SET </t>
  </si>
  <si>
    <t>T-200-SET</t>
  </si>
  <si>
    <t>1/8"</t>
  </si>
  <si>
    <t xml:space="preserve">https://products.swagelok.com/en/c/ferrule-sets/p/T-200-SET?q=:relevance:bodyMaterial:PTFE:connection1Size:1%2F8+in. </t>
  </si>
  <si>
    <t>T-100-SET</t>
  </si>
  <si>
    <t>1/16"</t>
  </si>
  <si>
    <t xml:space="preserve">https://products.swagelok.com/en/c/ferrule-sets/p/T-100-SET </t>
  </si>
  <si>
    <t>Thermowell</t>
  </si>
  <si>
    <t>Parr Instrument</t>
  </si>
  <si>
    <t>265HC</t>
  </si>
  <si>
    <t>3.53" OAL</t>
  </si>
  <si>
    <t>Contain thermocouple</t>
  </si>
  <si>
    <t>1 week</t>
  </si>
  <si>
    <t>..\..\Downloads\7004032302-265HC 48HCCN-Texas A&amp;M University-Kyle Williams.pdf</t>
  </si>
  <si>
    <t>High temp thread seal</t>
  </si>
  <si>
    <t>DEACON Industries</t>
  </si>
  <si>
    <t>8875-THIN</t>
  </si>
  <si>
    <t>4 oz can</t>
  </si>
  <si>
    <t>Seal NPT threads on autoclave</t>
  </si>
  <si>
    <t>4-5 days</t>
  </si>
  <si>
    <t xml:space="preserve">https://www.jetlube.com/product/deacon-8875-thin-thermal-reactive-paste-sealing-compound </t>
  </si>
  <si>
    <t>Plug adapter</t>
  </si>
  <si>
    <t>AC WORKS</t>
  </si>
  <si>
    <t>V-DUO</t>
  </si>
  <si>
    <t>NEMA L6-30P to 2 NEMA 6-20R</t>
  </si>
  <si>
    <t>Supply proper power to furnaces</t>
  </si>
  <si>
    <t xml:space="preserve">https://www.amazon.com/AC-WORKS-250Volt-Locking-Connector/dp/B08BY4SNQ8/ref=sr_1_6?keywords=250v%2Bplug%2Badapter&amp;qid=1681327990&amp;sr=8-6&amp;th=1 </t>
  </si>
  <si>
    <t>1/4" elbow</t>
  </si>
  <si>
    <t>refill inventory</t>
  </si>
  <si>
    <t xml:space="preserve">https://products.swagelok.com/en/c/90-degree-elbows/p/SS-400-9 </t>
  </si>
  <si>
    <t>SS-400-R-8BT</t>
  </si>
  <si>
    <t>1/4" swagelok to 1/2" tube adapter, bored through</t>
  </si>
  <si>
    <t>Transfer vessel connetions</t>
  </si>
  <si>
    <t>maybe</t>
  </si>
  <si>
    <t>316SS ferrules</t>
  </si>
  <si>
    <t>SS-400-SET</t>
  </si>
  <si>
    <t xml:space="preserve">https://products.swagelok.com/en/c/ferrule-sets/p/SS-400-SET </t>
  </si>
  <si>
    <t>SS-200-SET</t>
  </si>
  <si>
    <t xml:space="preserve">https://products.swagelok.com/en/c/ferrule-sets/p/SS-200-SET </t>
  </si>
  <si>
    <t>PTFE Tube fitting</t>
  </si>
  <si>
    <t>T-400-6-2</t>
  </si>
  <si>
    <t>1/4" to 1/8"</t>
  </si>
  <si>
    <t>not ordered</t>
  </si>
  <si>
    <t xml:space="preserve">https://products.swagelok.com/en/c/straights/p/T-400-6-2 </t>
  </si>
  <si>
    <t>Needle valve</t>
  </si>
  <si>
    <t>SS-3HNRS4-G</t>
  </si>
  <si>
    <t>1/4" connection, severe service, grafoil packing</t>
  </si>
  <si>
    <t>Connect purified salt transfer vessel to electrochem cell</t>
  </si>
  <si>
    <t xml:space="preserve">https://products.swagelok.com/en/c/straight-pattern-regulating-stem/p/SS-3HNRS4-G?q=:relevance:connection1Size:1%2F4+in. </t>
  </si>
  <si>
    <t>Copper sheet</t>
  </si>
  <si>
    <t>8964K32</t>
  </si>
  <si>
    <t>24" L, 4" W, 1/16" T</t>
  </si>
  <si>
    <t>Liner for purified salt transfer vessel</t>
  </si>
  <si>
    <t>304SS half nipple</t>
  </si>
  <si>
    <t>462-300-LF</t>
  </si>
  <si>
    <t>4.62" Flange OD, 3" Tube OD, 3.53" OAL</t>
  </si>
  <si>
    <t>Purified salt transfer vessel</t>
  </si>
  <si>
    <t xml:space="preserve">https://www.ldsvacuumshopper.com/462flangeod3.html </t>
  </si>
  <si>
    <t>304SS blank flange</t>
  </si>
  <si>
    <t>462-000</t>
  </si>
  <si>
    <t>4.62" OD, 0.75" T</t>
  </si>
  <si>
    <t xml:space="preserve">https://www.ldsvacuumshopper.com/458odblank.html#_ga=2.219534233.1816599746.1680189768-672292880.1680033449 </t>
  </si>
  <si>
    <t>Custom Fabricators</t>
  </si>
  <si>
    <t>Band Heater</t>
  </si>
  <si>
    <t>TEMPCO (Grainger)</t>
  </si>
  <si>
    <t>BCH06426 (2VYU3)</t>
  </si>
  <si>
    <t>3" ID, 3" L, 240V, 3.33 A, 760C</t>
  </si>
  <si>
    <t>Heater for purified salt transfer vessel</t>
  </si>
  <si>
    <t>https://www.grainger.com/product/TEMPCO-Band-Heater-3-in-Inside-Dia-2VYU3</t>
  </si>
  <si>
    <t>Molybendium wire</t>
  </si>
  <si>
    <t>GOONSDS (Amazon)</t>
  </si>
  <si>
    <t>26 gauge (0.4 mm), 99.99% pure, 1m long</t>
  </si>
  <si>
    <t>Potential reference electrode</t>
  </si>
  <si>
    <t xml:space="preserve">https://www.amazon.com/gp/product/B09FLPR8Q6/ref=ox_sc_act_title_1?smid=A3B3XE1QENUE52&amp;psc=1 </t>
  </si>
  <si>
    <t>Thermowell seal</t>
  </si>
  <si>
    <t>48HCCN</t>
  </si>
  <si>
    <t>Parr Instuments</t>
  </si>
  <si>
    <t>A472E4</t>
  </si>
  <si>
    <t>5.5" stem</t>
  </si>
  <si>
    <t>monitor salt temp</t>
  </si>
  <si>
    <t xml:space="preserve">https://www.parrinst.com/products/stirred-reactors/options-accessories/thermocouples/ </t>
  </si>
  <si>
    <t>Cart</t>
  </si>
  <si>
    <t>Uline</t>
  </si>
  <si>
    <t>H-3037</t>
  </si>
  <si>
    <t>house experiment</t>
  </si>
  <si>
    <t xml:space="preserve">https://www.uline.com/BL_595/Uline-Welded-Steel-Flat-Shelf-Carts </t>
  </si>
  <si>
    <t>Vacuum pump</t>
  </si>
  <si>
    <t>Edwards (Ebay)</t>
  </si>
  <si>
    <t>RV3</t>
  </si>
  <si>
    <t>standard</t>
  </si>
  <si>
    <t>chamber purging</t>
  </si>
  <si>
    <t xml:space="preserve">https://avac.com/product/boc-edwards-vacuum-pump-40-22618-02-rv5-rebuilt/ </t>
  </si>
  <si>
    <t>Neoprene rubber pad</t>
  </si>
  <si>
    <t>1370N39</t>
  </si>
  <si>
    <t>12" L, 12" W, 1/2" T</t>
  </si>
  <si>
    <t>reduce pump vibration</t>
  </si>
  <si>
    <t>304SS Tube fitting</t>
  </si>
  <si>
    <t>NW25x25SWG</t>
  </si>
  <si>
    <t>1/4" swagelok to KF25</t>
  </si>
  <si>
    <t>Connect pump to tubing</t>
  </si>
  <si>
    <t xml:space="preserve">https://www.ldsvacuumshopper.com/nw25to14tubeod2.html </t>
  </si>
  <si>
    <t>Glassy carbon lid</t>
  </si>
  <si>
    <t>GAD 3</t>
  </si>
  <si>
    <t>90 mm OD, 17 mm H</t>
  </si>
  <si>
    <t>to cover the crucible</t>
  </si>
  <si>
    <t>Power cord</t>
  </si>
  <si>
    <t>Yuduo</t>
  </si>
  <si>
    <t>NEMA 6-15P to NEMA 6-15R</t>
  </si>
  <si>
    <t>to connect the band heater to the variac</t>
  </si>
  <si>
    <t xml:space="preserve">https://www.amazon.com/6-15P-Plug-Straight-Blade-Power/dp/B00474CZIK </t>
  </si>
  <si>
    <t>Variable electric transformer</t>
  </si>
  <si>
    <t>Superior Electric</t>
  </si>
  <si>
    <t>3PN216C</t>
  </si>
  <si>
    <t>0-280V, 3.5A, 50/60HZ, NEMA 6-15 plug and receiver</t>
  </si>
  <si>
    <t>to control the temperature of the band heater</t>
  </si>
  <si>
    <t>8-12 weeks</t>
  </si>
  <si>
    <t>https://us.rs-online.com//product/superior-electric/3pn216c/70120697/?gclid=CjwKCAjwrdmhBhBBEiwA4Hx5g7tGxbeUdEFUa95egxqhs0JGYOXoiD_qod5DnO_XDI2GBdWkxfW2DBoCibIQAvD_BwE&amp;gclsrc=aw.ds</t>
  </si>
  <si>
    <t>8746K452</t>
  </si>
  <si>
    <t>1/16" OD, 1/32" ID, 24" L</t>
  </si>
  <si>
    <t>https://www.mcmaster.com/products/tubing/?s=alumina+ceramic+tubing</t>
  </si>
  <si>
    <t>Alumina adhesive</t>
  </si>
  <si>
    <t>MTI Corporation</t>
  </si>
  <si>
    <t>634AL6</t>
  </si>
  <si>
    <t>6 oz, high purity</t>
  </si>
  <si>
    <t>seal alumina tubes</t>
  </si>
  <si>
    <t>4-6 days</t>
  </si>
  <si>
    <t>https://www.mtixtl.com/1760C3200FHi-PurityAluminaCoating1Quart-EQ-634-AL-LD.aspx</t>
  </si>
  <si>
    <t>mti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</si>
</sst>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16.0"/>
      <color rgb="FFFF0000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rgb="FF9C5700"/>
      <name val="Calibri"/>
    </font>
    <font>
      <sz val="11.0"/>
      <color rgb="FF006100"/>
      <name val="Calibri"/>
    </font>
    <font>
      <sz val="11.0"/>
      <color rgb="FF9C0006"/>
      <name val="Calibri"/>
    </font>
    <font>
      <sz val="11.0"/>
      <color theme="1"/>
      <name val="Noto Sans Symbols"/>
    </font>
    <font>
      <sz val="11.0"/>
      <color theme="1"/>
      <name val="Courier New"/>
    </font>
    <font>
      <sz val="11.0"/>
      <color theme="0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5" numFmtId="0" xfId="0" applyFont="1"/>
    <xf borderId="0" fillId="0" fontId="5" numFmtId="164" xfId="0" applyFont="1" applyNumberForma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6" numFmtId="0" xfId="0" applyFont="1"/>
    <xf borderId="1" fillId="2" fontId="7" numFmtId="0" xfId="0" applyBorder="1" applyFill="1" applyFont="1"/>
    <xf borderId="1" fillId="3" fontId="8" numFmtId="0" xfId="0" applyBorder="1" applyFill="1" applyFont="1"/>
    <xf borderId="1" fillId="4" fontId="9" numFmtId="0" xfId="0" applyBorder="1" applyFill="1" applyFont="1"/>
    <xf borderId="0" fillId="0" fontId="1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5" numFmtId="164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12" numFmtId="164" xfId="0" applyFont="1" applyNumberFormat="1"/>
    <xf quotePrefix="1" borderId="0" fillId="0" fontId="1" numFmtId="0" xfId="0" applyAlignment="1" applyFont="1">
      <alignment horizontal="right"/>
    </xf>
    <xf quotePrefix="1" borderId="0" fillId="0" fontId="13" numFmtId="0" xfId="0" applyAlignment="1" applyFont="1">
      <alignment horizontal="left"/>
    </xf>
    <xf quotePrefix="1"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products.swagelok.com/en/c/straight-pattern-regulating-stem/p/SS-3HNRS4-G?q=:relevance:connection1Size:1%2F4+in." TargetMode="External"/><Relationship Id="rId22" Type="http://schemas.openxmlformats.org/officeDocument/2006/relationships/hyperlink" Target="https://www.ldsvacuumshopper.com/462flangeod3.html" TargetMode="External"/><Relationship Id="rId21" Type="http://schemas.openxmlformats.org/officeDocument/2006/relationships/hyperlink" Target="http://../../AppData/Roaming/Downloads/Electrocell_McMaster-Carr.pdf" TargetMode="External"/><Relationship Id="rId24" Type="http://schemas.openxmlformats.org/officeDocument/2006/relationships/hyperlink" Target="https://www.grainger.com/product/TEMPCO-Band-Heater-3-in-Inside-Dia-2VYU3" TargetMode="External"/><Relationship Id="rId23" Type="http://schemas.openxmlformats.org/officeDocument/2006/relationships/hyperlink" Target="https://www.ldsvacuumshopper.com/458odblank.html" TargetMode="External"/><Relationship Id="rId1" Type="http://schemas.openxmlformats.org/officeDocument/2006/relationships/hyperlink" Target="https://www.gamry.com/cyclic-voltammetry/" TargetMode="External"/><Relationship Id="rId2" Type="http://schemas.openxmlformats.org/officeDocument/2006/relationships/hyperlink" Target="http://../../AppData/Roaming/Downloads/4.11.2023%20Quote%20Texas%20A&amp;M%20University.pdf" TargetMode="External"/><Relationship Id="rId3" Type="http://schemas.openxmlformats.org/officeDocument/2006/relationships/hyperlink" Target="http://../../AppData/Roaming/Downloads/4.11.2023%20Quote%20Texas%20A&amp;M%20University.pdf" TargetMode="External"/><Relationship Id="rId4" Type="http://schemas.openxmlformats.org/officeDocument/2006/relationships/hyperlink" Target="https://www.surepure.com/Pt-wire016-02/p/3501" TargetMode="External"/><Relationship Id="rId9" Type="http://schemas.openxmlformats.org/officeDocument/2006/relationships/hyperlink" Target="https://products.swagelok.com/en/c/ferrule-sets/p/T-400-SET" TargetMode="External"/><Relationship Id="rId26" Type="http://schemas.openxmlformats.org/officeDocument/2006/relationships/hyperlink" Target="http://../../AppData/Roaming/Downloads/7004032302-265HC%2048HCCN-Texas%20A&amp;M%20University-Kyle%20Williams.pdf" TargetMode="External"/><Relationship Id="rId25" Type="http://schemas.openxmlformats.org/officeDocument/2006/relationships/hyperlink" Target="https://www.amazon.com/gp/product/B09FLPR8Q6/ref=ox_sc_act_title_1?smid=A3B3XE1QENUE52&amp;psc=1" TargetMode="External"/><Relationship Id="rId28" Type="http://schemas.openxmlformats.org/officeDocument/2006/relationships/hyperlink" Target="https://www.uline.com/BL_595/Uline-Welded-Steel-Flat-Shelf-Carts" TargetMode="External"/><Relationship Id="rId27" Type="http://schemas.openxmlformats.org/officeDocument/2006/relationships/hyperlink" Target="https://www.parrinst.com/products/stirred-reactors/options-accessories/thermocouples/" TargetMode="External"/><Relationship Id="rId5" Type="http://schemas.openxmlformats.org/officeDocument/2006/relationships/hyperlink" Target="http://../../AppData/Roaming/Downloads/Electrocell_McMaster-Carr.pdf" TargetMode="External"/><Relationship Id="rId6" Type="http://schemas.openxmlformats.org/officeDocument/2006/relationships/hyperlink" Target="https://products.swagelok.com/en/c/straights/p/SS-400-6-2BT" TargetMode="External"/><Relationship Id="rId29" Type="http://schemas.openxmlformats.org/officeDocument/2006/relationships/hyperlink" Target="https://avac.com/product/boc-edwards-vacuum-pump-40-22618-02-rv5-rebuilt/" TargetMode="External"/><Relationship Id="rId7" Type="http://schemas.openxmlformats.org/officeDocument/2006/relationships/hyperlink" Target="https://products.swagelok.com/en/c/straights/p/SS-400-6-1BT" TargetMode="External"/><Relationship Id="rId8" Type="http://schemas.openxmlformats.org/officeDocument/2006/relationships/hyperlink" Target="https://products.swagelok.com/en/c/straights/p/SS-400-6BT" TargetMode="External"/><Relationship Id="rId31" Type="http://schemas.openxmlformats.org/officeDocument/2006/relationships/hyperlink" Target="https://www.ldsvacuumshopper.com/nw25to14tubeod2.html" TargetMode="External"/><Relationship Id="rId30" Type="http://schemas.openxmlformats.org/officeDocument/2006/relationships/hyperlink" Target="http://../../AppData/Roaming/Downloads/Electrocell_McMaster-Carr.pdf" TargetMode="External"/><Relationship Id="rId11" Type="http://schemas.openxmlformats.org/officeDocument/2006/relationships/hyperlink" Target="https://products.swagelok.com/en/c/ferrule-sets/p/T-100-SET" TargetMode="External"/><Relationship Id="rId33" Type="http://schemas.openxmlformats.org/officeDocument/2006/relationships/hyperlink" Target="https://www.amazon.com/6-15P-Plug-Straight-Blade-Power/dp/B00474CZIK" TargetMode="External"/><Relationship Id="rId10" Type="http://schemas.openxmlformats.org/officeDocument/2006/relationships/hyperlink" Target="https://products.swagelok.com/en/c/ferrule-sets/p/T-200-SET?q=:relevance:bodyMaterial:PTFE:connection1Size:1%2F8+in." TargetMode="External"/><Relationship Id="rId32" Type="http://schemas.openxmlformats.org/officeDocument/2006/relationships/hyperlink" Target="http://../../AppData/Roaming/Downloads/4.11.2023%20Quote%20Texas%20A&amp;M%20University.pdf" TargetMode="External"/><Relationship Id="rId13" Type="http://schemas.openxmlformats.org/officeDocument/2006/relationships/hyperlink" Target="https://www.jetlube.com/product/deacon-8875-thin-thermal-reactive-paste-sealing-compound" TargetMode="External"/><Relationship Id="rId35" Type="http://schemas.openxmlformats.org/officeDocument/2006/relationships/hyperlink" Target="https://www.mcmaster.com/products/tubing/?s=alumina+ceramic+tubing" TargetMode="External"/><Relationship Id="rId12" Type="http://schemas.openxmlformats.org/officeDocument/2006/relationships/hyperlink" Target="http://../../AppData/Roaming/Downloads/7004032302-265HC%2048HCCN-Texas%20A&amp;M%20University-Kyle%20Williams.pdf" TargetMode="External"/><Relationship Id="rId34" Type="http://schemas.openxmlformats.org/officeDocument/2006/relationships/hyperlink" Target="https://us.rs-online.com/product/superior-electric/3pn216c/70120697/?gclid=CjwKCAjwrdmhBhBBEiwA4Hx5g7tGxbeUdEFUa95egxqhs0JGYOXoiD_qod5DnO_XDI2GBdWkxfW2DBoCibIQAvD_BwE&amp;gclsrc=aw.ds" TargetMode="External"/><Relationship Id="rId15" Type="http://schemas.openxmlformats.org/officeDocument/2006/relationships/hyperlink" Target="https://products.swagelok.com/en/c/90-degree-elbows/p/SS-400-9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www.amazon.com/AC-WORKS-250Volt-Locking-Connector/dp/B08BY4SNQ8/ref=sr_1_6?keywords=250v%2Bplug%2Badapter&amp;qid=1681327990&amp;sr=8-6&amp;th=1" TargetMode="External"/><Relationship Id="rId36" Type="http://schemas.openxmlformats.org/officeDocument/2006/relationships/hyperlink" Target="https://www.mtixtl.com/1760C3200FHi-PurityAluminaCoating1Quart-EQ-634-AL-LD.aspx" TargetMode="External"/><Relationship Id="rId17" Type="http://schemas.openxmlformats.org/officeDocument/2006/relationships/hyperlink" Target="https://products.swagelok.com/en/c/ferrule-sets/p/SS-400-SET" TargetMode="External"/><Relationship Id="rId16" Type="http://schemas.openxmlformats.org/officeDocument/2006/relationships/hyperlink" Target="https://products.swagelok.com/en/c/90-degree-elbows/p/SS-400-9" TargetMode="External"/><Relationship Id="rId19" Type="http://schemas.openxmlformats.org/officeDocument/2006/relationships/hyperlink" Target="https://products.swagelok.com/en/c/straights/p/T-400-6-2" TargetMode="External"/><Relationship Id="rId18" Type="http://schemas.openxmlformats.org/officeDocument/2006/relationships/hyperlink" Target="https://products.swagelok.com/en/c/ferrule-sets/p/SS-200-SE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18.57"/>
    <col customWidth="1" min="3" max="3" width="19.86"/>
    <col customWidth="1" min="4" max="4" width="14.29"/>
    <col customWidth="1" min="5" max="5" width="13.0"/>
    <col customWidth="1" min="6" max="6" width="13.86"/>
    <col customWidth="1" min="7" max="7" width="4.43"/>
    <col customWidth="1" min="8" max="8" width="48.86"/>
    <col customWidth="1" min="9" max="9" width="23.14"/>
    <col customWidth="1" min="10" max="10" width="19.57"/>
    <col customWidth="1" min="11" max="11" width="16.0"/>
    <col customWidth="1" min="12" max="12" width="22.14"/>
    <col customWidth="1" min="13" max="26" width="8.71"/>
  </cols>
  <sheetData>
    <row r="1">
      <c r="E1" s="1"/>
      <c r="G1" s="2"/>
    </row>
    <row r="2">
      <c r="A2" s="3" t="s">
        <v>0</v>
      </c>
      <c r="B2" s="4">
        <f>SUMPRODUCT(E5:E200,F5:F200)</f>
        <v>102554.68</v>
      </c>
      <c r="E2" s="1"/>
      <c r="G2" s="2"/>
      <c r="N2" s="5" t="s">
        <v>1</v>
      </c>
      <c r="O2" s="5" t="s">
        <v>2</v>
      </c>
    </row>
    <row r="3">
      <c r="A3" s="6"/>
      <c r="E3" s="7"/>
      <c r="G3" s="2"/>
      <c r="N3" s="5" t="s">
        <v>3</v>
      </c>
      <c r="O3" s="5" t="s">
        <v>4</v>
      </c>
    </row>
    <row r="4">
      <c r="A4" s="8" t="s">
        <v>5</v>
      </c>
      <c r="B4" s="8" t="s">
        <v>6</v>
      </c>
      <c r="C4" s="8" t="s">
        <v>7</v>
      </c>
      <c r="D4" s="8" t="s">
        <v>8</v>
      </c>
      <c r="E4" s="9" t="s">
        <v>9</v>
      </c>
      <c r="F4" s="8" t="s">
        <v>10</v>
      </c>
      <c r="G4" s="2"/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N4" s="5" t="s">
        <v>16</v>
      </c>
      <c r="O4" s="5" t="s">
        <v>17</v>
      </c>
    </row>
    <row r="5">
      <c r="A5" s="10" t="s">
        <v>18</v>
      </c>
      <c r="B5" s="10" t="s">
        <v>19</v>
      </c>
      <c r="C5" s="10" t="s">
        <v>20</v>
      </c>
      <c r="D5" s="10" t="s">
        <v>21</v>
      </c>
      <c r="E5" s="1">
        <v>941.0</v>
      </c>
      <c r="F5" s="10">
        <v>2.0</v>
      </c>
      <c r="G5" s="1"/>
      <c r="H5" s="11" t="s">
        <v>22</v>
      </c>
      <c r="I5" s="10" t="s">
        <v>23</v>
      </c>
      <c r="J5" s="10" t="s">
        <v>24</v>
      </c>
      <c r="K5" s="10" t="s">
        <v>16</v>
      </c>
      <c r="L5" s="10" t="s">
        <v>25</v>
      </c>
      <c r="N5" s="5" t="s">
        <v>26</v>
      </c>
      <c r="O5" s="5" t="s">
        <v>27</v>
      </c>
    </row>
    <row r="6">
      <c r="A6" s="10" t="s">
        <v>28</v>
      </c>
      <c r="B6" s="10" t="s">
        <v>29</v>
      </c>
      <c r="C6" s="10" t="s">
        <v>30</v>
      </c>
      <c r="D6" s="10" t="s">
        <v>21</v>
      </c>
      <c r="E6" s="1">
        <v>1655.0</v>
      </c>
      <c r="F6" s="10">
        <v>1.0</v>
      </c>
      <c r="G6" s="1"/>
      <c r="H6" s="11" t="s">
        <v>31</v>
      </c>
      <c r="I6" s="10" t="s">
        <v>23</v>
      </c>
      <c r="J6" s="10" t="s">
        <v>24</v>
      </c>
      <c r="K6" s="10" t="s">
        <v>16</v>
      </c>
      <c r="L6" s="10" t="s">
        <v>25</v>
      </c>
    </row>
    <row r="7">
      <c r="A7" s="10" t="s">
        <v>32</v>
      </c>
      <c r="B7" s="10" t="s">
        <v>33</v>
      </c>
      <c r="C7" s="10" t="s">
        <v>34</v>
      </c>
      <c r="D7" s="10" t="s">
        <v>35</v>
      </c>
      <c r="E7" s="1">
        <v>1456.0</v>
      </c>
      <c r="F7" s="10">
        <v>1.0</v>
      </c>
      <c r="G7" s="1"/>
      <c r="H7" s="10" t="s">
        <v>36</v>
      </c>
      <c r="I7" s="10" t="s">
        <v>23</v>
      </c>
      <c r="J7" s="10" t="s">
        <v>24</v>
      </c>
      <c r="K7" s="10" t="s">
        <v>26</v>
      </c>
      <c r="L7" s="10" t="s">
        <v>37</v>
      </c>
    </row>
    <row r="8">
      <c r="A8" s="10" t="s">
        <v>38</v>
      </c>
      <c r="B8" s="10" t="s">
        <v>39</v>
      </c>
      <c r="C8" s="10" t="s">
        <v>40</v>
      </c>
      <c r="D8" s="10" t="s">
        <v>35</v>
      </c>
      <c r="E8" s="1">
        <v>2866.0</v>
      </c>
      <c r="F8" s="10">
        <v>2.0</v>
      </c>
      <c r="G8" s="1"/>
      <c r="I8" s="10" t="s">
        <v>23</v>
      </c>
      <c r="J8" s="10" t="s">
        <v>24</v>
      </c>
      <c r="K8" s="10" t="s">
        <v>26</v>
      </c>
      <c r="L8" s="10" t="s">
        <v>25</v>
      </c>
    </row>
    <row r="9">
      <c r="A9" s="10" t="s">
        <v>41</v>
      </c>
      <c r="B9" s="10" t="s">
        <v>39</v>
      </c>
      <c r="C9" s="10" t="s">
        <v>42</v>
      </c>
      <c r="D9" s="10" t="s">
        <v>35</v>
      </c>
      <c r="E9" s="1">
        <v>3727.0</v>
      </c>
      <c r="F9" s="10">
        <v>2.0</v>
      </c>
      <c r="G9" s="1"/>
      <c r="I9" s="10" t="s">
        <v>23</v>
      </c>
      <c r="J9" s="10" t="s">
        <v>25</v>
      </c>
      <c r="K9" s="10" t="s">
        <v>26</v>
      </c>
      <c r="L9" s="10" t="s">
        <v>25</v>
      </c>
    </row>
    <row r="10">
      <c r="A10" s="10" t="s">
        <v>43</v>
      </c>
      <c r="B10" s="10" t="s">
        <v>44</v>
      </c>
      <c r="C10" s="10" t="s">
        <v>45</v>
      </c>
      <c r="D10" s="10" t="s">
        <v>21</v>
      </c>
      <c r="E10" s="1">
        <v>6738.0</v>
      </c>
      <c r="F10" s="10">
        <v>1.0</v>
      </c>
      <c r="G10" s="1"/>
      <c r="H10" s="11" t="s">
        <v>46</v>
      </c>
      <c r="I10" s="10" t="s">
        <v>23</v>
      </c>
      <c r="J10" s="10" t="s">
        <v>24</v>
      </c>
      <c r="K10" s="10" t="s">
        <v>26</v>
      </c>
      <c r="L10" s="10" t="s">
        <v>37</v>
      </c>
    </row>
    <row r="11">
      <c r="A11" s="10" t="s">
        <v>47</v>
      </c>
      <c r="B11" s="10" t="s">
        <v>39</v>
      </c>
      <c r="C11" s="10" t="s">
        <v>48</v>
      </c>
      <c r="D11" s="10" t="s">
        <v>35</v>
      </c>
      <c r="E11" s="1">
        <v>47.34</v>
      </c>
      <c r="F11" s="10">
        <v>20.0</v>
      </c>
      <c r="G11" s="1" t="s">
        <v>49</v>
      </c>
      <c r="I11" s="10" t="s">
        <v>23</v>
      </c>
      <c r="J11" s="10" t="s">
        <v>24</v>
      </c>
      <c r="K11" s="10" t="s">
        <v>16</v>
      </c>
      <c r="L11" s="10" t="s">
        <v>25</v>
      </c>
    </row>
    <row r="12">
      <c r="A12" s="10" t="s">
        <v>50</v>
      </c>
      <c r="B12" s="10" t="s">
        <v>39</v>
      </c>
      <c r="C12" s="10" t="s">
        <v>51</v>
      </c>
      <c r="D12" s="10" t="s">
        <v>35</v>
      </c>
      <c r="E12" s="1">
        <v>25.36</v>
      </c>
      <c r="F12" s="10">
        <v>20.0</v>
      </c>
      <c r="G12" s="1" t="s">
        <v>49</v>
      </c>
      <c r="I12" s="10" t="s">
        <v>23</v>
      </c>
      <c r="J12" s="10" t="s">
        <v>24</v>
      </c>
      <c r="K12" s="10" t="s">
        <v>16</v>
      </c>
      <c r="L12" s="10" t="s">
        <v>25</v>
      </c>
    </row>
    <row r="13">
      <c r="A13" s="10" t="s">
        <v>52</v>
      </c>
      <c r="B13" s="10" t="s">
        <v>53</v>
      </c>
      <c r="C13" s="10" t="s">
        <v>54</v>
      </c>
      <c r="D13" s="10" t="s">
        <v>55</v>
      </c>
      <c r="E13" s="1">
        <v>183.95</v>
      </c>
      <c r="F13" s="10">
        <v>1.0</v>
      </c>
      <c r="G13" s="1"/>
      <c r="I13" s="10" t="s">
        <v>23</v>
      </c>
      <c r="J13" s="10" t="s">
        <v>25</v>
      </c>
      <c r="K13" s="10" t="s">
        <v>3</v>
      </c>
      <c r="L13" s="10" t="s">
        <v>24</v>
      </c>
    </row>
    <row r="14">
      <c r="A14" s="10" t="s">
        <v>56</v>
      </c>
      <c r="B14" s="10" t="s">
        <v>53</v>
      </c>
      <c r="C14" s="10" t="s">
        <v>57</v>
      </c>
      <c r="D14" s="10" t="s">
        <v>55</v>
      </c>
      <c r="E14" s="1">
        <v>299.59</v>
      </c>
      <c r="F14" s="10">
        <v>2.0</v>
      </c>
      <c r="G14" s="2"/>
      <c r="I14" s="10" t="s">
        <v>23</v>
      </c>
      <c r="J14" s="10" t="s">
        <v>24</v>
      </c>
      <c r="K14" s="10" t="s">
        <v>3</v>
      </c>
      <c r="L14" s="10" t="s">
        <v>24</v>
      </c>
    </row>
    <row r="15">
      <c r="A15" s="10" t="s">
        <v>58</v>
      </c>
      <c r="B15" s="10" t="s">
        <v>59</v>
      </c>
      <c r="C15" s="10" t="s">
        <v>60</v>
      </c>
      <c r="D15" s="10" t="s">
        <v>55</v>
      </c>
      <c r="E15" s="1">
        <v>4.81</v>
      </c>
      <c r="F15" s="10">
        <v>25.0</v>
      </c>
      <c r="G15" s="2" t="s">
        <v>49</v>
      </c>
      <c r="I15" s="10" t="s">
        <v>23</v>
      </c>
      <c r="J15" s="10" t="s">
        <v>25</v>
      </c>
      <c r="K15" s="10" t="s">
        <v>3</v>
      </c>
      <c r="L15" s="10" t="s">
        <v>24</v>
      </c>
    </row>
    <row r="16">
      <c r="A16" s="10" t="s">
        <v>61</v>
      </c>
      <c r="B16" s="10" t="s">
        <v>62</v>
      </c>
      <c r="C16" s="10" t="s">
        <v>63</v>
      </c>
      <c r="D16" s="10" t="s">
        <v>21</v>
      </c>
      <c r="E16" s="1">
        <v>1468.45</v>
      </c>
      <c r="F16" s="10">
        <v>2.0</v>
      </c>
      <c r="G16" s="2"/>
      <c r="H16" s="10" t="s">
        <v>64</v>
      </c>
      <c r="I16" s="10" t="s">
        <v>23</v>
      </c>
      <c r="J16" s="10" t="s">
        <v>24</v>
      </c>
      <c r="K16" s="10" t="s">
        <v>16</v>
      </c>
      <c r="L16" s="10" t="s">
        <v>24</v>
      </c>
    </row>
    <row r="17">
      <c r="A17" s="10" t="s">
        <v>65</v>
      </c>
      <c r="B17" s="10" t="s">
        <v>66</v>
      </c>
      <c r="C17" s="10" t="s">
        <v>67</v>
      </c>
      <c r="D17" s="10" t="s">
        <v>68</v>
      </c>
      <c r="E17" s="1">
        <v>2702.84</v>
      </c>
      <c r="F17" s="10">
        <v>1.0</v>
      </c>
      <c r="G17" s="2"/>
      <c r="H17" s="10" t="s">
        <v>69</v>
      </c>
      <c r="I17" s="10" t="s">
        <v>23</v>
      </c>
      <c r="J17" s="10" t="s">
        <v>24</v>
      </c>
      <c r="K17" s="10" t="s">
        <v>70</v>
      </c>
      <c r="L17" s="10" t="s">
        <v>71</v>
      </c>
    </row>
    <row r="18">
      <c r="A18" s="10" t="s">
        <v>72</v>
      </c>
      <c r="B18" s="10" t="s">
        <v>73</v>
      </c>
      <c r="D18" s="10" t="s">
        <v>68</v>
      </c>
      <c r="E18" s="1"/>
      <c r="G18" s="2"/>
      <c r="I18" s="10" t="s">
        <v>23</v>
      </c>
      <c r="J18" s="10" t="s">
        <v>24</v>
      </c>
      <c r="K18" s="10" t="s">
        <v>1</v>
      </c>
      <c r="L18" s="10" t="s">
        <v>25</v>
      </c>
    </row>
    <row r="19">
      <c r="A19" s="10" t="s">
        <v>74</v>
      </c>
      <c r="B19" s="10" t="s">
        <v>75</v>
      </c>
      <c r="C19" s="10" t="s">
        <v>76</v>
      </c>
      <c r="D19" s="10" t="s">
        <v>21</v>
      </c>
      <c r="E19" s="1">
        <v>895.0</v>
      </c>
      <c r="G19" s="2"/>
      <c r="H19" s="10" t="s">
        <v>77</v>
      </c>
      <c r="I19" s="10" t="s">
        <v>23</v>
      </c>
      <c r="J19" s="10" t="s">
        <v>24</v>
      </c>
      <c r="K19" s="10" t="s">
        <v>3</v>
      </c>
      <c r="L19" s="10" t="s">
        <v>25</v>
      </c>
    </row>
    <row r="20">
      <c r="A20" s="10" t="s">
        <v>78</v>
      </c>
      <c r="B20" s="10" t="s">
        <v>79</v>
      </c>
      <c r="C20" s="10" t="s">
        <v>80</v>
      </c>
      <c r="D20" s="10" t="s">
        <v>21</v>
      </c>
      <c r="E20" s="1">
        <v>285.1</v>
      </c>
      <c r="F20" s="10">
        <v>1.0</v>
      </c>
      <c r="G20" s="2"/>
      <c r="H20" s="11" t="s">
        <v>81</v>
      </c>
      <c r="I20" s="10" t="s">
        <v>23</v>
      </c>
      <c r="J20" s="10" t="s">
        <v>25</v>
      </c>
      <c r="K20" s="10" t="s">
        <v>3</v>
      </c>
      <c r="L20" s="10" t="s">
        <v>25</v>
      </c>
    </row>
    <row r="21" ht="15.75" customHeight="1">
      <c r="A21" s="10" t="s">
        <v>82</v>
      </c>
      <c r="B21" s="10" t="s">
        <v>39</v>
      </c>
      <c r="C21" s="10" t="s">
        <v>83</v>
      </c>
      <c r="D21" s="10" t="s">
        <v>35</v>
      </c>
      <c r="E21" s="1">
        <v>41.1</v>
      </c>
      <c r="F21" s="10">
        <v>6.0</v>
      </c>
      <c r="G21" s="2"/>
      <c r="I21" s="10" t="s">
        <v>23</v>
      </c>
      <c r="J21" s="10">
        <v>1.0</v>
      </c>
      <c r="K21" s="10" t="s">
        <v>1</v>
      </c>
      <c r="L21" s="10" t="s">
        <v>25</v>
      </c>
    </row>
    <row r="22" ht="15.75" customHeight="1">
      <c r="A22" s="10" t="s">
        <v>84</v>
      </c>
      <c r="B22" s="10" t="s">
        <v>39</v>
      </c>
      <c r="C22" s="10" t="s">
        <v>85</v>
      </c>
      <c r="D22" s="10" t="s">
        <v>35</v>
      </c>
      <c r="E22" s="1">
        <v>26.9</v>
      </c>
      <c r="F22" s="10">
        <v>9.0</v>
      </c>
      <c r="G22" s="2"/>
      <c r="I22" s="10" t="s">
        <v>23</v>
      </c>
      <c r="J22" s="10">
        <v>2.0</v>
      </c>
      <c r="K22" s="10" t="s">
        <v>1</v>
      </c>
      <c r="L22" s="10" t="s">
        <v>25</v>
      </c>
    </row>
    <row r="23" ht="15.75" customHeight="1">
      <c r="A23" s="10" t="s">
        <v>86</v>
      </c>
      <c r="B23" s="10" t="s">
        <v>39</v>
      </c>
      <c r="C23" s="10" t="s">
        <v>87</v>
      </c>
      <c r="D23" s="10" t="s">
        <v>35</v>
      </c>
      <c r="E23" s="1">
        <v>27.0</v>
      </c>
      <c r="F23" s="10">
        <v>9.0</v>
      </c>
      <c r="G23" s="2"/>
      <c r="I23" s="10" t="s">
        <v>23</v>
      </c>
      <c r="J23" s="10">
        <v>2.0</v>
      </c>
      <c r="K23" s="10" t="s">
        <v>1</v>
      </c>
      <c r="L23" s="10" t="s">
        <v>25</v>
      </c>
    </row>
    <row r="24" ht="15.75" customHeight="1">
      <c r="A24" s="10" t="s">
        <v>88</v>
      </c>
      <c r="B24" s="10" t="s">
        <v>39</v>
      </c>
      <c r="C24" s="10" t="s">
        <v>89</v>
      </c>
      <c r="D24" s="10" t="s">
        <v>35</v>
      </c>
      <c r="E24" s="1">
        <v>17.4</v>
      </c>
      <c r="F24" s="10">
        <v>5.0</v>
      </c>
      <c r="G24" s="2"/>
      <c r="I24" s="10" t="s">
        <v>23</v>
      </c>
      <c r="J24" s="10">
        <v>1.0</v>
      </c>
      <c r="K24" s="10" t="s">
        <v>1</v>
      </c>
      <c r="L24" s="10" t="s">
        <v>25</v>
      </c>
    </row>
    <row r="25" ht="15.75" customHeight="1">
      <c r="A25" s="10" t="s">
        <v>90</v>
      </c>
      <c r="B25" s="10" t="s">
        <v>39</v>
      </c>
      <c r="C25" s="10" t="s">
        <v>91</v>
      </c>
      <c r="D25" s="10" t="s">
        <v>35</v>
      </c>
      <c r="E25" s="1">
        <v>526.9</v>
      </c>
      <c r="F25" s="10">
        <v>1.0</v>
      </c>
      <c r="G25" s="2"/>
      <c r="I25" s="10" t="s">
        <v>23</v>
      </c>
      <c r="J25" s="10" t="s">
        <v>24</v>
      </c>
      <c r="K25" s="10" t="s">
        <v>16</v>
      </c>
      <c r="L25" s="10" t="s">
        <v>25</v>
      </c>
    </row>
    <row r="26" ht="15.75" customHeight="1">
      <c r="A26" s="10" t="s">
        <v>92</v>
      </c>
      <c r="B26" s="10" t="s">
        <v>39</v>
      </c>
      <c r="C26" s="10" t="s">
        <v>93</v>
      </c>
      <c r="D26" s="10" t="s">
        <v>35</v>
      </c>
      <c r="E26" s="1">
        <v>45.3</v>
      </c>
      <c r="F26" s="10">
        <v>6.0</v>
      </c>
      <c r="G26" s="2"/>
      <c r="I26" s="10" t="s">
        <v>23</v>
      </c>
      <c r="J26" s="10">
        <v>1.0</v>
      </c>
      <c r="K26" s="10" t="s">
        <v>1</v>
      </c>
      <c r="L26" s="10" t="s">
        <v>25</v>
      </c>
    </row>
    <row r="27" ht="15.75" customHeight="1">
      <c r="A27" s="10" t="s">
        <v>94</v>
      </c>
      <c r="B27" s="10" t="s">
        <v>95</v>
      </c>
      <c r="D27" s="10" t="s">
        <v>35</v>
      </c>
      <c r="E27" s="1">
        <v>1605.0</v>
      </c>
      <c r="F27" s="10">
        <v>1.0</v>
      </c>
      <c r="G27" s="2"/>
      <c r="I27" s="10" t="s">
        <v>23</v>
      </c>
      <c r="J27" s="10" t="s">
        <v>24</v>
      </c>
      <c r="K27" s="10" t="s">
        <v>16</v>
      </c>
      <c r="L27" s="10" t="s">
        <v>25</v>
      </c>
    </row>
    <row r="28" ht="15.75" customHeight="1">
      <c r="A28" s="10" t="s">
        <v>96</v>
      </c>
      <c r="B28" s="10" t="s">
        <v>95</v>
      </c>
      <c r="D28" s="10" t="s">
        <v>35</v>
      </c>
      <c r="E28" s="1">
        <v>797.0</v>
      </c>
      <c r="F28" s="10">
        <v>2.0</v>
      </c>
      <c r="G28" s="2"/>
      <c r="I28" s="10" t="s">
        <v>23</v>
      </c>
      <c r="J28" s="10" t="s">
        <v>24</v>
      </c>
      <c r="K28" s="10" t="s">
        <v>16</v>
      </c>
      <c r="L28" s="10" t="s">
        <v>25</v>
      </c>
    </row>
    <row r="29" ht="15.75" customHeight="1">
      <c r="A29" s="10" t="s">
        <v>97</v>
      </c>
      <c r="B29" s="10" t="s">
        <v>95</v>
      </c>
      <c r="D29" s="10" t="s">
        <v>35</v>
      </c>
      <c r="E29" s="1">
        <v>775.0</v>
      </c>
      <c r="F29" s="10">
        <v>1.0</v>
      </c>
      <c r="G29" s="2"/>
      <c r="I29" s="10" t="s">
        <v>23</v>
      </c>
      <c r="J29" s="10" t="s">
        <v>24</v>
      </c>
      <c r="K29" s="10" t="s">
        <v>16</v>
      </c>
      <c r="L29" s="10" t="s">
        <v>25</v>
      </c>
    </row>
    <row r="30" ht="15.75" customHeight="1">
      <c r="A30" s="10" t="s">
        <v>98</v>
      </c>
      <c r="B30" s="10" t="s">
        <v>95</v>
      </c>
      <c r="D30" s="10" t="s">
        <v>99</v>
      </c>
      <c r="E30" s="1">
        <v>830.0</v>
      </c>
      <c r="F30" s="10">
        <v>1.0</v>
      </c>
      <c r="G30" s="2"/>
      <c r="I30" s="10" t="s">
        <v>23</v>
      </c>
      <c r="J30" s="10" t="s">
        <v>24</v>
      </c>
      <c r="K30" s="10" t="s">
        <v>3</v>
      </c>
      <c r="L30" s="10" t="s">
        <v>25</v>
      </c>
    </row>
    <row r="31" ht="15.75" customHeight="1">
      <c r="A31" s="10" t="s">
        <v>100</v>
      </c>
      <c r="B31" s="10" t="s">
        <v>101</v>
      </c>
      <c r="D31" s="10" t="s">
        <v>99</v>
      </c>
      <c r="E31" s="1">
        <v>2248.55</v>
      </c>
      <c r="F31" s="10">
        <v>1.0</v>
      </c>
      <c r="G31" s="2"/>
      <c r="H31" s="11" t="s">
        <v>102</v>
      </c>
      <c r="I31" s="10" t="s">
        <v>23</v>
      </c>
      <c r="J31" s="10" t="s">
        <v>24</v>
      </c>
      <c r="K31" s="10" t="s">
        <v>16</v>
      </c>
      <c r="L31" s="10" t="s">
        <v>103</v>
      </c>
    </row>
    <row r="32" ht="15.75" customHeight="1">
      <c r="A32" s="10" t="s">
        <v>104</v>
      </c>
      <c r="B32" s="10" t="s">
        <v>105</v>
      </c>
      <c r="D32" s="10" t="s">
        <v>99</v>
      </c>
      <c r="E32" s="1">
        <v>114.7</v>
      </c>
      <c r="F32" s="10">
        <v>1.0</v>
      </c>
      <c r="G32" s="1"/>
      <c r="H32" s="10" t="s">
        <v>106</v>
      </c>
      <c r="I32" s="10" t="s">
        <v>23</v>
      </c>
      <c r="J32" s="10" t="s">
        <v>24</v>
      </c>
      <c r="K32" s="10" t="s">
        <v>1</v>
      </c>
      <c r="L32" s="10" t="s">
        <v>25</v>
      </c>
    </row>
    <row r="33" ht="15.75" customHeight="1">
      <c r="A33" s="10" t="s">
        <v>107</v>
      </c>
      <c r="B33" s="10" t="s">
        <v>108</v>
      </c>
      <c r="D33" s="10" t="s">
        <v>21</v>
      </c>
      <c r="E33" s="1">
        <v>3890.65</v>
      </c>
      <c r="F33" s="10">
        <v>1.0</v>
      </c>
      <c r="G33" s="1"/>
      <c r="H33" s="10" t="s">
        <v>109</v>
      </c>
      <c r="I33" s="10" t="s">
        <v>23</v>
      </c>
      <c r="J33" s="10" t="s">
        <v>24</v>
      </c>
      <c r="K33" s="10" t="s">
        <v>3</v>
      </c>
      <c r="L33" s="10" t="s">
        <v>25</v>
      </c>
    </row>
    <row r="34" ht="15.75" customHeight="1">
      <c r="A34" s="10" t="s">
        <v>110</v>
      </c>
      <c r="B34" s="10" t="s">
        <v>111</v>
      </c>
      <c r="C34" s="10" t="s">
        <v>112</v>
      </c>
      <c r="D34" s="10" t="s">
        <v>113</v>
      </c>
      <c r="E34" s="1">
        <v>9.33</v>
      </c>
      <c r="F34" s="10">
        <v>12.0</v>
      </c>
      <c r="G34" s="1"/>
      <c r="H34" s="10" t="s">
        <v>114</v>
      </c>
      <c r="I34" s="10" t="s">
        <v>23</v>
      </c>
      <c r="J34" s="10" t="s">
        <v>24</v>
      </c>
      <c r="K34" s="10" t="s">
        <v>1</v>
      </c>
      <c r="L34" s="10" t="s">
        <v>25</v>
      </c>
    </row>
    <row r="35" ht="15.75" customHeight="1">
      <c r="A35" s="10" t="s">
        <v>115</v>
      </c>
      <c r="B35" s="10" t="s">
        <v>111</v>
      </c>
      <c r="D35" s="10" t="s">
        <v>113</v>
      </c>
      <c r="E35" s="1">
        <v>24.9</v>
      </c>
      <c r="F35" s="10">
        <v>1.0</v>
      </c>
      <c r="G35" s="1"/>
      <c r="H35" s="10" t="s">
        <v>116</v>
      </c>
      <c r="I35" s="10" t="s">
        <v>23</v>
      </c>
      <c r="J35" s="10" t="s">
        <v>24</v>
      </c>
      <c r="K35" s="10" t="s">
        <v>1</v>
      </c>
      <c r="L35" s="10" t="s">
        <v>25</v>
      </c>
    </row>
    <row r="36" ht="15.75" customHeight="1">
      <c r="A36" s="10" t="s">
        <v>117</v>
      </c>
      <c r="B36" s="10" t="s">
        <v>118</v>
      </c>
      <c r="D36" s="10" t="s">
        <v>99</v>
      </c>
      <c r="E36" s="1">
        <v>1896.0</v>
      </c>
      <c r="F36" s="10">
        <v>3.0</v>
      </c>
      <c r="G36" s="1"/>
      <c r="H36" s="10" t="s">
        <v>119</v>
      </c>
      <c r="I36" s="10" t="s">
        <v>23</v>
      </c>
      <c r="J36" s="10" t="s">
        <v>24</v>
      </c>
      <c r="K36" s="10" t="s">
        <v>26</v>
      </c>
      <c r="L36" s="10" t="s">
        <v>103</v>
      </c>
    </row>
    <row r="37" ht="15.75" customHeight="1">
      <c r="A37" s="10" t="s">
        <v>120</v>
      </c>
      <c r="B37" s="10" t="s">
        <v>121</v>
      </c>
      <c r="D37" s="10" t="s">
        <v>99</v>
      </c>
      <c r="E37" s="1">
        <v>1300.0</v>
      </c>
      <c r="F37" s="10">
        <v>1.0</v>
      </c>
      <c r="G37" s="1"/>
      <c r="K37" s="10" t="s">
        <v>26</v>
      </c>
      <c r="L37" s="10" t="s">
        <v>103</v>
      </c>
    </row>
    <row r="38" ht="15.75" customHeight="1">
      <c r="A38" s="10" t="s">
        <v>78</v>
      </c>
      <c r="B38" s="10" t="s">
        <v>122</v>
      </c>
      <c r="C38" s="10" t="s">
        <v>123</v>
      </c>
      <c r="D38" s="10" t="s">
        <v>21</v>
      </c>
      <c r="E38" s="1">
        <v>80.0</v>
      </c>
      <c r="F38" s="10">
        <v>1.0</v>
      </c>
      <c r="G38" s="1"/>
      <c r="H38" s="10" t="s">
        <v>124</v>
      </c>
      <c r="I38" s="10" t="s">
        <v>23</v>
      </c>
      <c r="J38" s="10" t="s">
        <v>24</v>
      </c>
      <c r="K38" s="10" t="s">
        <v>1</v>
      </c>
      <c r="L38" s="10" t="s">
        <v>25</v>
      </c>
    </row>
    <row r="39" ht="15.75" customHeight="1">
      <c r="A39" s="10" t="s">
        <v>125</v>
      </c>
      <c r="B39" s="10" t="s">
        <v>126</v>
      </c>
      <c r="C39" s="10" t="s">
        <v>127</v>
      </c>
      <c r="D39" s="10" t="s">
        <v>113</v>
      </c>
      <c r="E39" s="1">
        <v>125.0</v>
      </c>
      <c r="F39" s="10">
        <v>1.0</v>
      </c>
      <c r="G39" s="1"/>
      <c r="H39" s="10" t="s">
        <v>128</v>
      </c>
      <c r="I39" s="10" t="s">
        <v>23</v>
      </c>
      <c r="J39" s="10" t="s">
        <v>24</v>
      </c>
      <c r="K39" s="10" t="s">
        <v>3</v>
      </c>
      <c r="L39" s="10" t="s">
        <v>24</v>
      </c>
    </row>
    <row r="40" ht="15.75" customHeight="1">
      <c r="A40" s="10" t="s">
        <v>129</v>
      </c>
      <c r="B40" s="10" t="s">
        <v>130</v>
      </c>
      <c r="C40" s="10">
        <v>314874.0</v>
      </c>
      <c r="D40" s="10" t="s">
        <v>55</v>
      </c>
      <c r="E40" s="1">
        <v>245.61</v>
      </c>
      <c r="F40" s="10">
        <v>1.0</v>
      </c>
      <c r="G40" s="1"/>
      <c r="H40" s="10" t="s">
        <v>131</v>
      </c>
      <c r="I40" s="10" t="s">
        <v>23</v>
      </c>
      <c r="J40" s="10" t="s">
        <v>24</v>
      </c>
      <c r="K40" s="10" t="s">
        <v>3</v>
      </c>
      <c r="L40" s="10" t="s">
        <v>25</v>
      </c>
    </row>
    <row r="41" ht="15.75" customHeight="1">
      <c r="A41" s="10" t="s">
        <v>132</v>
      </c>
      <c r="B41" s="10" t="s">
        <v>133</v>
      </c>
      <c r="C41" s="10">
        <v>3301768.0</v>
      </c>
      <c r="D41" s="10" t="s">
        <v>68</v>
      </c>
      <c r="E41" s="1">
        <v>23623.2</v>
      </c>
      <c r="F41" s="10">
        <v>1.0</v>
      </c>
      <c r="G41" s="1"/>
      <c r="H41" s="10" t="s">
        <v>134</v>
      </c>
      <c r="I41" s="10" t="s">
        <v>23</v>
      </c>
      <c r="J41" s="10" t="s">
        <v>24</v>
      </c>
      <c r="K41" s="10" t="s">
        <v>26</v>
      </c>
      <c r="L41" s="10" t="s">
        <v>25</v>
      </c>
    </row>
    <row r="42" ht="15.75" customHeight="1">
      <c r="A42" s="10" t="s">
        <v>135</v>
      </c>
      <c r="B42" s="10" t="s">
        <v>39</v>
      </c>
      <c r="C42" s="10" t="s">
        <v>136</v>
      </c>
      <c r="D42" s="10" t="s">
        <v>35</v>
      </c>
      <c r="E42" s="1">
        <v>80.01</v>
      </c>
      <c r="F42" s="10">
        <v>1.0</v>
      </c>
      <c r="G42" s="1"/>
      <c r="I42" s="10" t="s">
        <v>23</v>
      </c>
      <c r="J42" s="10" t="s">
        <v>24</v>
      </c>
      <c r="K42" s="10" t="s">
        <v>1</v>
      </c>
      <c r="L42" s="10" t="s">
        <v>25</v>
      </c>
    </row>
    <row r="43" ht="15.75" customHeight="1">
      <c r="A43" s="10" t="s">
        <v>137</v>
      </c>
      <c r="B43" s="10" t="s">
        <v>39</v>
      </c>
      <c r="C43" s="10" t="s">
        <v>138</v>
      </c>
      <c r="D43" s="10" t="s">
        <v>35</v>
      </c>
      <c r="E43" s="1">
        <v>98.91</v>
      </c>
      <c r="F43" s="10">
        <v>3.0</v>
      </c>
      <c r="G43" s="1"/>
      <c r="H43" s="10" t="s">
        <v>139</v>
      </c>
      <c r="I43" s="10" t="s">
        <v>23</v>
      </c>
      <c r="J43" s="10" t="s">
        <v>24</v>
      </c>
      <c r="K43" s="10" t="s">
        <v>3</v>
      </c>
      <c r="L43" s="10" t="s">
        <v>25</v>
      </c>
    </row>
    <row r="44" ht="15.75" customHeight="1">
      <c r="A44" s="10" t="s">
        <v>140</v>
      </c>
      <c r="B44" s="10" t="s">
        <v>141</v>
      </c>
      <c r="C44" s="10" t="s">
        <v>142</v>
      </c>
      <c r="D44" s="10" t="s">
        <v>143</v>
      </c>
      <c r="E44" s="1">
        <v>4169.0</v>
      </c>
      <c r="F44" s="10">
        <v>1.0</v>
      </c>
      <c r="G44" s="1"/>
      <c r="H44" s="10" t="s">
        <v>144</v>
      </c>
      <c r="I44" s="10" t="s">
        <v>23</v>
      </c>
      <c r="J44" s="10" t="s">
        <v>24</v>
      </c>
      <c r="K44" s="10" t="s">
        <v>16</v>
      </c>
      <c r="L44" s="10" t="s">
        <v>25</v>
      </c>
    </row>
    <row r="45" ht="15.75" customHeight="1">
      <c r="A45" s="10" t="s">
        <v>145</v>
      </c>
      <c r="B45" s="10" t="s">
        <v>141</v>
      </c>
      <c r="C45" s="10" t="s">
        <v>146</v>
      </c>
      <c r="D45" s="10" t="s">
        <v>143</v>
      </c>
      <c r="E45" s="1">
        <f>572+41.25+163.9</f>
        <v>777.15</v>
      </c>
      <c r="F45" s="10">
        <v>1.0</v>
      </c>
      <c r="G45" s="1"/>
      <c r="I45" s="10" t="s">
        <v>23</v>
      </c>
      <c r="J45" s="10" t="s">
        <v>24</v>
      </c>
      <c r="K45" s="10" t="s">
        <v>16</v>
      </c>
      <c r="L45" s="10" t="s">
        <v>25</v>
      </c>
    </row>
    <row r="46" ht="15.75" customHeight="1">
      <c r="A46" s="10" t="s">
        <v>147</v>
      </c>
      <c r="B46" s="10" t="s">
        <v>39</v>
      </c>
      <c r="C46" s="10" t="s">
        <v>148</v>
      </c>
      <c r="D46" s="10" t="s">
        <v>35</v>
      </c>
      <c r="E46" s="1">
        <v>253.0</v>
      </c>
      <c r="F46" s="10">
        <v>5.0</v>
      </c>
      <c r="G46" s="1"/>
      <c r="H46" s="10" t="s">
        <v>149</v>
      </c>
      <c r="I46" s="10" t="s">
        <v>23</v>
      </c>
      <c r="J46" s="10" t="s">
        <v>24</v>
      </c>
      <c r="K46" s="10" t="s">
        <v>1</v>
      </c>
      <c r="L46" s="10" t="s">
        <v>25</v>
      </c>
    </row>
    <row r="47" ht="15.75" customHeight="1">
      <c r="A47" s="10" t="s">
        <v>150</v>
      </c>
      <c r="B47" s="10" t="s">
        <v>151</v>
      </c>
      <c r="D47" s="10" t="s">
        <v>35</v>
      </c>
      <c r="E47" s="1">
        <v>64.81</v>
      </c>
      <c r="F47" s="10">
        <v>1.0</v>
      </c>
      <c r="G47" s="1"/>
      <c r="H47" s="10" t="s">
        <v>152</v>
      </c>
      <c r="I47" s="10" t="s">
        <v>23</v>
      </c>
      <c r="J47" s="10" t="s">
        <v>24</v>
      </c>
      <c r="K47" s="10" t="s">
        <v>3</v>
      </c>
      <c r="L47" s="10" t="s">
        <v>25</v>
      </c>
    </row>
    <row r="48" ht="15.75" customHeight="1">
      <c r="A48" s="10" t="s">
        <v>153</v>
      </c>
      <c r="B48" s="10" t="s">
        <v>154</v>
      </c>
      <c r="C48" s="10" t="s">
        <v>155</v>
      </c>
      <c r="D48" s="10" t="s">
        <v>35</v>
      </c>
      <c r="E48" s="1">
        <v>1.41</v>
      </c>
      <c r="F48" s="10">
        <v>20.0</v>
      </c>
      <c r="G48" s="1" t="s">
        <v>49</v>
      </c>
      <c r="I48" s="10" t="s">
        <v>23</v>
      </c>
      <c r="J48" s="10" t="s">
        <v>24</v>
      </c>
      <c r="K48" s="10" t="s">
        <v>3</v>
      </c>
      <c r="L48" s="10" t="s">
        <v>25</v>
      </c>
    </row>
    <row r="49" ht="15.75" customHeight="1">
      <c r="A49" s="10" t="s">
        <v>156</v>
      </c>
      <c r="B49" s="10" t="s">
        <v>157</v>
      </c>
      <c r="C49" s="10">
        <v>20638.0</v>
      </c>
      <c r="D49" s="10" t="s">
        <v>68</v>
      </c>
      <c r="E49" s="1">
        <v>372.8</v>
      </c>
      <c r="F49" s="10">
        <v>2.0</v>
      </c>
      <c r="G49" s="1"/>
      <c r="H49" s="10" t="s">
        <v>158</v>
      </c>
      <c r="I49" s="10" t="s">
        <v>23</v>
      </c>
      <c r="J49" s="10" t="s">
        <v>24</v>
      </c>
      <c r="K49" s="10" t="s">
        <v>3</v>
      </c>
      <c r="L49" s="10" t="s">
        <v>24</v>
      </c>
    </row>
    <row r="50" ht="15.75" customHeight="1">
      <c r="A50" s="10" t="s">
        <v>159</v>
      </c>
      <c r="B50" s="10" t="s">
        <v>39</v>
      </c>
      <c r="C50" s="10" t="s">
        <v>160</v>
      </c>
      <c r="D50" s="10" t="s">
        <v>35</v>
      </c>
      <c r="E50" s="1">
        <v>38.22</v>
      </c>
      <c r="F50" s="10">
        <v>2.0</v>
      </c>
      <c r="G50" s="1"/>
      <c r="I50" s="10" t="s">
        <v>23</v>
      </c>
      <c r="J50" s="10" t="s">
        <v>24</v>
      </c>
      <c r="K50" s="10" t="s">
        <v>1</v>
      </c>
      <c r="L50" s="10" t="s">
        <v>25</v>
      </c>
    </row>
    <row r="51" ht="15.75" customHeight="1">
      <c r="A51" s="10" t="s">
        <v>161</v>
      </c>
      <c r="B51" s="10" t="s">
        <v>101</v>
      </c>
      <c r="C51" s="10" t="s">
        <v>162</v>
      </c>
      <c r="D51" s="10" t="s">
        <v>143</v>
      </c>
      <c r="E51" s="1">
        <v>59.05</v>
      </c>
      <c r="F51" s="10">
        <v>1.0</v>
      </c>
      <c r="G51" s="1"/>
      <c r="I51" s="10" t="s">
        <v>23</v>
      </c>
      <c r="J51" s="10" t="s">
        <v>24</v>
      </c>
      <c r="K51" s="10" t="s">
        <v>3</v>
      </c>
      <c r="L51" s="10" t="s">
        <v>25</v>
      </c>
    </row>
    <row r="52" ht="15.75" customHeight="1">
      <c r="A52" s="10" t="s">
        <v>163</v>
      </c>
      <c r="B52" s="10" t="s">
        <v>164</v>
      </c>
      <c r="C52" s="10" t="s">
        <v>165</v>
      </c>
      <c r="D52" s="10" t="s">
        <v>143</v>
      </c>
      <c r="E52" s="1">
        <v>214.0</v>
      </c>
      <c r="F52" s="10">
        <v>1.0</v>
      </c>
      <c r="G52" s="1"/>
      <c r="H52" s="10" t="s">
        <v>166</v>
      </c>
      <c r="I52" s="10" t="s">
        <v>23</v>
      </c>
      <c r="J52" s="10" t="s">
        <v>24</v>
      </c>
      <c r="K52" s="10" t="s">
        <v>3</v>
      </c>
      <c r="L52" s="10" t="s">
        <v>167</v>
      </c>
    </row>
    <row r="53" ht="15.75" customHeight="1">
      <c r="A53" s="10" t="s">
        <v>168</v>
      </c>
      <c r="B53" s="10" t="s">
        <v>164</v>
      </c>
      <c r="C53" s="10" t="s">
        <v>169</v>
      </c>
      <c r="D53" s="10" t="s">
        <v>143</v>
      </c>
      <c r="E53" s="1">
        <v>57.0</v>
      </c>
      <c r="F53" s="10">
        <v>2.0</v>
      </c>
      <c r="G53" s="1"/>
      <c r="H53" s="10" t="s">
        <v>170</v>
      </c>
      <c r="I53" s="10" t="s">
        <v>23</v>
      </c>
      <c r="J53" s="10" t="s">
        <v>24</v>
      </c>
      <c r="K53" s="10" t="s">
        <v>3</v>
      </c>
      <c r="L53" s="10" t="s">
        <v>167</v>
      </c>
    </row>
    <row r="54" ht="15.75" customHeight="1">
      <c r="A54" s="10" t="s">
        <v>171</v>
      </c>
      <c r="B54" s="10" t="s">
        <v>164</v>
      </c>
      <c r="C54" s="10" t="s">
        <v>172</v>
      </c>
      <c r="D54" s="10" t="s">
        <v>143</v>
      </c>
      <c r="E54" s="1">
        <v>49.0</v>
      </c>
      <c r="F54" s="10">
        <v>1.0</v>
      </c>
      <c r="G54" s="1"/>
      <c r="H54" s="10" t="s">
        <v>170</v>
      </c>
      <c r="I54" s="10" t="s">
        <v>23</v>
      </c>
      <c r="J54" s="10" t="s">
        <v>24</v>
      </c>
      <c r="K54" s="10" t="s">
        <v>3</v>
      </c>
      <c r="L54" s="10" t="s">
        <v>167</v>
      </c>
    </row>
    <row r="55" ht="15.75" customHeight="1">
      <c r="A55" s="10" t="s">
        <v>173</v>
      </c>
      <c r="B55" s="10" t="s">
        <v>164</v>
      </c>
      <c r="C55" s="10" t="s">
        <v>174</v>
      </c>
      <c r="D55" s="10" t="s">
        <v>143</v>
      </c>
      <c r="E55" s="1">
        <v>69.0</v>
      </c>
      <c r="F55" s="10">
        <v>1.0</v>
      </c>
      <c r="G55" s="1"/>
      <c r="H55" s="10" t="s">
        <v>170</v>
      </c>
      <c r="I55" s="10" t="s">
        <v>23</v>
      </c>
      <c r="J55" s="10" t="s">
        <v>24</v>
      </c>
      <c r="K55" s="10" t="s">
        <v>3</v>
      </c>
      <c r="L55" s="10" t="s">
        <v>167</v>
      </c>
    </row>
    <row r="56" ht="15.75" customHeight="1">
      <c r="A56" s="10" t="s">
        <v>175</v>
      </c>
      <c r="B56" s="10" t="s">
        <v>164</v>
      </c>
      <c r="C56" s="10" t="s">
        <v>176</v>
      </c>
      <c r="D56" s="10" t="s">
        <v>143</v>
      </c>
      <c r="E56" s="1">
        <f>15+6</f>
        <v>21</v>
      </c>
      <c r="F56" s="10">
        <v>1.0</v>
      </c>
      <c r="G56" s="1"/>
      <c r="H56" s="10" t="s">
        <v>177</v>
      </c>
      <c r="I56" s="10" t="s">
        <v>23</v>
      </c>
      <c r="J56" s="10" t="s">
        <v>24</v>
      </c>
      <c r="K56" s="10" t="s">
        <v>3</v>
      </c>
      <c r="L56" s="10" t="s">
        <v>167</v>
      </c>
    </row>
    <row r="57" ht="15.75" customHeight="1">
      <c r="A57" s="10" t="s">
        <v>178</v>
      </c>
      <c r="B57" s="10" t="s">
        <v>164</v>
      </c>
      <c r="C57" s="10" t="s">
        <v>179</v>
      </c>
      <c r="D57" s="10" t="s">
        <v>143</v>
      </c>
      <c r="E57" s="1">
        <f>63+6</f>
        <v>69</v>
      </c>
      <c r="F57" s="10">
        <v>1.0</v>
      </c>
      <c r="G57" s="1"/>
      <c r="H57" s="10" t="s">
        <v>177</v>
      </c>
      <c r="I57" s="10" t="s">
        <v>23</v>
      </c>
      <c r="J57" s="10" t="s">
        <v>24</v>
      </c>
      <c r="K57" s="10" t="s">
        <v>3</v>
      </c>
      <c r="L57" s="10" t="s">
        <v>167</v>
      </c>
    </row>
    <row r="58" ht="15.75" customHeight="1">
      <c r="A58" s="10" t="s">
        <v>180</v>
      </c>
      <c r="B58" s="10" t="s">
        <v>164</v>
      </c>
      <c r="C58" s="10" t="s">
        <v>181</v>
      </c>
      <c r="D58" s="10" t="s">
        <v>143</v>
      </c>
      <c r="E58" s="1">
        <f>87+11+6</f>
        <v>104</v>
      </c>
      <c r="F58" s="10">
        <v>1.0</v>
      </c>
      <c r="G58" s="1"/>
      <c r="H58" s="10" t="s">
        <v>177</v>
      </c>
      <c r="I58" s="10" t="s">
        <v>23</v>
      </c>
      <c r="J58" s="10" t="s">
        <v>24</v>
      </c>
      <c r="K58" s="10" t="s">
        <v>3</v>
      </c>
      <c r="L58" s="10" t="s">
        <v>167</v>
      </c>
    </row>
    <row r="59" ht="15.75" customHeight="1">
      <c r="A59" s="10" t="s">
        <v>182</v>
      </c>
      <c r="B59" s="10" t="s">
        <v>164</v>
      </c>
      <c r="C59" s="10" t="s">
        <v>183</v>
      </c>
      <c r="D59" s="10" t="s">
        <v>143</v>
      </c>
      <c r="E59" s="1">
        <f>289+11</f>
        <v>300</v>
      </c>
      <c r="F59" s="10">
        <v>1.0</v>
      </c>
      <c r="G59" s="1"/>
      <c r="H59" s="10" t="s">
        <v>177</v>
      </c>
      <c r="I59" s="10" t="s">
        <v>23</v>
      </c>
      <c r="J59" s="10" t="s">
        <v>24</v>
      </c>
      <c r="K59" s="10" t="s">
        <v>3</v>
      </c>
      <c r="L59" s="10" t="s">
        <v>167</v>
      </c>
    </row>
    <row r="60" ht="15.75" customHeight="1">
      <c r="A60" s="10" t="s">
        <v>184</v>
      </c>
      <c r="B60" s="10" t="s">
        <v>164</v>
      </c>
      <c r="C60" s="10" t="s">
        <v>185</v>
      </c>
      <c r="D60" s="10" t="s">
        <v>143</v>
      </c>
      <c r="E60" s="1">
        <v>73.0</v>
      </c>
      <c r="F60" s="10">
        <v>2.0</v>
      </c>
      <c r="G60" s="1"/>
      <c r="H60" s="10" t="s">
        <v>170</v>
      </c>
      <c r="I60" s="10" t="s">
        <v>23</v>
      </c>
      <c r="J60" s="10" t="s">
        <v>24</v>
      </c>
      <c r="K60" s="10" t="s">
        <v>3</v>
      </c>
      <c r="L60" s="10" t="s">
        <v>167</v>
      </c>
    </row>
    <row r="61" ht="15.75" customHeight="1">
      <c r="A61" s="10" t="s">
        <v>186</v>
      </c>
      <c r="B61" s="10" t="s">
        <v>164</v>
      </c>
      <c r="C61" s="10" t="s">
        <v>187</v>
      </c>
      <c r="D61" s="10" t="s">
        <v>143</v>
      </c>
      <c r="E61" s="1">
        <v>162.0</v>
      </c>
      <c r="F61" s="10">
        <v>1.0</v>
      </c>
      <c r="G61" s="1"/>
      <c r="H61" s="10" t="s">
        <v>188</v>
      </c>
      <c r="I61" s="10" t="s">
        <v>23</v>
      </c>
      <c r="J61" s="10" t="s">
        <v>25</v>
      </c>
      <c r="K61" s="10" t="s">
        <v>3</v>
      </c>
      <c r="L61" s="10" t="s">
        <v>167</v>
      </c>
    </row>
    <row r="62" ht="15.75" customHeight="1">
      <c r="A62" s="10" t="s">
        <v>189</v>
      </c>
      <c r="B62" s="10" t="s">
        <v>190</v>
      </c>
      <c r="C62" s="10" t="s">
        <v>191</v>
      </c>
      <c r="D62" s="10" t="s">
        <v>143</v>
      </c>
      <c r="E62" s="1">
        <v>1630.0</v>
      </c>
      <c r="F62" s="10">
        <v>1.0</v>
      </c>
      <c r="G62" s="1"/>
      <c r="H62" s="10" t="s">
        <v>192</v>
      </c>
      <c r="I62" s="10" t="s">
        <v>23</v>
      </c>
      <c r="J62" s="10" t="s">
        <v>24</v>
      </c>
      <c r="K62" s="10" t="s">
        <v>3</v>
      </c>
      <c r="L62" s="10" t="s">
        <v>167</v>
      </c>
    </row>
    <row r="63" ht="15.75" customHeight="1">
      <c r="A63" s="10" t="s">
        <v>193</v>
      </c>
      <c r="B63" s="10" t="s">
        <v>194</v>
      </c>
      <c r="C63" s="10" t="s">
        <v>195</v>
      </c>
      <c r="D63" s="10" t="s">
        <v>55</v>
      </c>
      <c r="E63" s="1">
        <v>52.5</v>
      </c>
      <c r="F63" s="10">
        <v>2.0</v>
      </c>
      <c r="G63" s="1"/>
      <c r="I63" s="10" t="s">
        <v>23</v>
      </c>
      <c r="J63" s="10" t="s">
        <v>24</v>
      </c>
      <c r="K63" s="10" t="s">
        <v>16</v>
      </c>
      <c r="L63" s="10" t="s">
        <v>25</v>
      </c>
    </row>
    <row r="64" ht="15.75" customHeight="1">
      <c r="A64" s="10" t="s">
        <v>137</v>
      </c>
      <c r="B64" s="10" t="s">
        <v>39</v>
      </c>
      <c r="C64" s="10" t="s">
        <v>196</v>
      </c>
      <c r="D64" s="10" t="s">
        <v>35</v>
      </c>
      <c r="E64" s="1">
        <v>61.4</v>
      </c>
      <c r="F64" s="10">
        <v>3.0</v>
      </c>
      <c r="G64" s="1"/>
      <c r="H64" s="10" t="s">
        <v>197</v>
      </c>
      <c r="I64" s="10" t="s">
        <v>23</v>
      </c>
      <c r="J64" s="10" t="s">
        <v>25</v>
      </c>
      <c r="K64" s="10" t="s">
        <v>1</v>
      </c>
      <c r="L64" s="10" t="s">
        <v>25</v>
      </c>
    </row>
    <row r="65" ht="15.75" customHeight="1">
      <c r="A65" s="10" t="s">
        <v>198</v>
      </c>
      <c r="B65" s="10" t="s">
        <v>39</v>
      </c>
      <c r="C65" s="10" t="s">
        <v>199</v>
      </c>
      <c r="D65" s="10" t="s">
        <v>35</v>
      </c>
      <c r="E65" s="1">
        <v>7.9</v>
      </c>
      <c r="F65" s="10">
        <v>10.0</v>
      </c>
      <c r="G65" s="1"/>
      <c r="I65" s="10" t="s">
        <v>23</v>
      </c>
      <c r="J65" s="10" t="s">
        <v>25</v>
      </c>
      <c r="K65" s="10" t="s">
        <v>1</v>
      </c>
      <c r="L65" s="10" t="s">
        <v>25</v>
      </c>
    </row>
    <row r="66" ht="15.75" customHeight="1">
      <c r="A66" s="10" t="s">
        <v>200</v>
      </c>
      <c r="B66" s="10" t="s">
        <v>39</v>
      </c>
      <c r="C66" s="10" t="s">
        <v>201</v>
      </c>
      <c r="D66" s="10" t="s">
        <v>35</v>
      </c>
      <c r="E66" s="1">
        <v>17.7</v>
      </c>
      <c r="F66" s="10">
        <v>10.0</v>
      </c>
      <c r="G66" s="1"/>
      <c r="I66" s="10" t="s">
        <v>23</v>
      </c>
      <c r="J66" s="10" t="s">
        <v>24</v>
      </c>
      <c r="K66" s="10" t="s">
        <v>1</v>
      </c>
      <c r="L66" s="10" t="s">
        <v>25</v>
      </c>
    </row>
    <row r="67" ht="15.75" customHeight="1">
      <c r="A67" s="10" t="s">
        <v>202</v>
      </c>
      <c r="B67" s="10" t="s">
        <v>39</v>
      </c>
      <c r="C67" s="10" t="s">
        <v>203</v>
      </c>
      <c r="D67" s="10" t="s">
        <v>35</v>
      </c>
      <c r="E67" s="1">
        <v>24.9</v>
      </c>
      <c r="F67" s="10">
        <v>10.0</v>
      </c>
      <c r="G67" s="1"/>
      <c r="I67" s="10" t="s">
        <v>23</v>
      </c>
      <c r="J67" s="10" t="s">
        <v>24</v>
      </c>
      <c r="K67" s="10" t="s">
        <v>1</v>
      </c>
      <c r="L67" s="10" t="s">
        <v>25</v>
      </c>
    </row>
    <row r="68" ht="15.75" customHeight="1">
      <c r="A68" s="10" t="s">
        <v>204</v>
      </c>
      <c r="B68" s="10" t="s">
        <v>39</v>
      </c>
      <c r="C68" s="10" t="s">
        <v>205</v>
      </c>
      <c r="D68" s="10" t="s">
        <v>35</v>
      </c>
      <c r="E68" s="1">
        <v>98.76</v>
      </c>
      <c r="F68" s="10">
        <v>2.0</v>
      </c>
      <c r="G68" s="1"/>
      <c r="H68" s="10" t="s">
        <v>206</v>
      </c>
      <c r="I68" s="10" t="s">
        <v>23</v>
      </c>
      <c r="J68" s="10" t="s">
        <v>24</v>
      </c>
    </row>
    <row r="69" ht="15.75" customHeight="1">
      <c r="A69" s="10" t="s">
        <v>204</v>
      </c>
      <c r="B69" s="10" t="s">
        <v>39</v>
      </c>
      <c r="C69" s="10" t="s">
        <v>207</v>
      </c>
      <c r="D69" s="10" t="s">
        <v>35</v>
      </c>
      <c r="E69" s="1">
        <v>99.4</v>
      </c>
      <c r="F69" s="10">
        <v>5.0</v>
      </c>
      <c r="G69" s="1"/>
      <c r="H69" s="10" t="s">
        <v>208</v>
      </c>
      <c r="I69" s="10" t="s">
        <v>23</v>
      </c>
      <c r="J69" s="10" t="s">
        <v>209</v>
      </c>
      <c r="K69" s="10" t="s">
        <v>1</v>
      </c>
      <c r="L69" s="10" t="s">
        <v>25</v>
      </c>
    </row>
    <row r="70" ht="15.75" customHeight="1">
      <c r="A70" s="10" t="s">
        <v>210</v>
      </c>
      <c r="B70" s="10" t="s">
        <v>39</v>
      </c>
      <c r="C70" s="10" t="s">
        <v>211</v>
      </c>
      <c r="D70" s="10" t="s">
        <v>35</v>
      </c>
      <c r="E70" s="1">
        <v>125.0</v>
      </c>
      <c r="F70" s="10">
        <v>5.0</v>
      </c>
      <c r="G70" s="1"/>
      <c r="H70" s="10" t="s">
        <v>212</v>
      </c>
      <c r="I70" s="10" t="s">
        <v>23</v>
      </c>
      <c r="J70" s="10" t="s">
        <v>25</v>
      </c>
      <c r="K70" s="10" t="s">
        <v>1</v>
      </c>
      <c r="L70" s="10" t="s">
        <v>25</v>
      </c>
    </row>
    <row r="71" ht="15.75" customHeight="1">
      <c r="A71" s="10" t="s">
        <v>213</v>
      </c>
      <c r="B71" s="10" t="s">
        <v>39</v>
      </c>
      <c r="C71" s="10" t="s">
        <v>214</v>
      </c>
      <c r="D71" s="10" t="s">
        <v>35</v>
      </c>
      <c r="E71" s="1">
        <v>234.1</v>
      </c>
      <c r="F71" s="10">
        <v>3.0</v>
      </c>
      <c r="G71" s="1"/>
      <c r="H71" s="10" t="s">
        <v>215</v>
      </c>
      <c r="I71" s="10" t="s">
        <v>23</v>
      </c>
      <c r="J71" s="10">
        <v>2.0</v>
      </c>
      <c r="K71" s="10" t="s">
        <v>1</v>
      </c>
      <c r="L71" s="10" t="s">
        <v>25</v>
      </c>
    </row>
    <row r="72" ht="15.75" customHeight="1">
      <c r="A72" s="10" t="s">
        <v>216</v>
      </c>
      <c r="B72" s="10" t="s">
        <v>39</v>
      </c>
      <c r="C72" s="10" t="s">
        <v>217</v>
      </c>
      <c r="D72" s="10" t="s">
        <v>35</v>
      </c>
      <c r="E72" s="1">
        <v>2024.26</v>
      </c>
      <c r="F72" s="10">
        <v>2.0</v>
      </c>
      <c r="G72" s="1"/>
      <c r="H72" s="10" t="s">
        <v>218</v>
      </c>
      <c r="I72" s="10" t="s">
        <v>23</v>
      </c>
      <c r="J72" s="10" t="s">
        <v>24</v>
      </c>
      <c r="K72" s="10" t="s">
        <v>1</v>
      </c>
      <c r="L72" s="10" t="s">
        <v>25</v>
      </c>
    </row>
    <row r="73" ht="15.75" customHeight="1">
      <c r="A73" s="10" t="s">
        <v>219</v>
      </c>
      <c r="B73" s="10" t="s">
        <v>39</v>
      </c>
      <c r="C73" s="10" t="s">
        <v>220</v>
      </c>
      <c r="D73" s="10" t="s">
        <v>35</v>
      </c>
      <c r="E73" s="1">
        <v>3.12</v>
      </c>
      <c r="F73" s="10">
        <v>60.0</v>
      </c>
      <c r="G73" s="1" t="s">
        <v>49</v>
      </c>
      <c r="H73" s="10" t="s">
        <v>221</v>
      </c>
      <c r="I73" s="10" t="s">
        <v>23</v>
      </c>
      <c r="J73" s="10" t="s">
        <v>24</v>
      </c>
      <c r="K73" s="10" t="s">
        <v>1</v>
      </c>
      <c r="L73" s="10" t="s">
        <v>25</v>
      </c>
    </row>
    <row r="74" ht="15.75" customHeight="1">
      <c r="A74" s="10" t="s">
        <v>222</v>
      </c>
      <c r="B74" s="10" t="s">
        <v>39</v>
      </c>
      <c r="C74" s="10" t="s">
        <v>223</v>
      </c>
      <c r="D74" s="10" t="s">
        <v>35</v>
      </c>
      <c r="E74" s="1">
        <v>42.2</v>
      </c>
      <c r="F74" s="10">
        <v>5.0</v>
      </c>
      <c r="G74" s="1"/>
      <c r="I74" s="10" t="s">
        <v>23</v>
      </c>
      <c r="J74" s="10" t="s">
        <v>25</v>
      </c>
      <c r="K74" s="10" t="s">
        <v>1</v>
      </c>
      <c r="L74" s="10" t="s">
        <v>25</v>
      </c>
    </row>
    <row r="75" ht="15.75" customHeight="1">
      <c r="A75" s="10" t="s">
        <v>224</v>
      </c>
      <c r="B75" s="10" t="s">
        <v>95</v>
      </c>
      <c r="D75" s="10" t="s">
        <v>99</v>
      </c>
      <c r="E75" s="1">
        <v>315.0</v>
      </c>
      <c r="F75" s="10">
        <v>2.0</v>
      </c>
      <c r="G75" s="1"/>
      <c r="H75" s="10" t="s">
        <v>225</v>
      </c>
      <c r="I75" s="10" t="s">
        <v>23</v>
      </c>
      <c r="J75" s="10" t="s">
        <v>24</v>
      </c>
      <c r="K75" s="10" t="s">
        <v>3</v>
      </c>
      <c r="L75" s="10" t="s">
        <v>25</v>
      </c>
    </row>
    <row r="76" ht="15.75" customHeight="1">
      <c r="A76" s="10" t="s">
        <v>226</v>
      </c>
      <c r="B76" s="10" t="s">
        <v>227</v>
      </c>
      <c r="D76" s="10" t="s">
        <v>35</v>
      </c>
      <c r="E76" s="1">
        <v>6.25</v>
      </c>
      <c r="F76" s="10">
        <v>40.0</v>
      </c>
      <c r="G76" s="1" t="s">
        <v>49</v>
      </c>
      <c r="I76" s="10" t="s">
        <v>23</v>
      </c>
      <c r="J76" s="10" t="s">
        <v>25</v>
      </c>
      <c r="K76" s="10" t="s">
        <v>3</v>
      </c>
      <c r="L76" s="10" t="s">
        <v>24</v>
      </c>
    </row>
    <row r="77" ht="15.75" customHeight="1">
      <c r="A77" s="10" t="s">
        <v>228</v>
      </c>
      <c r="B77" s="10" t="s">
        <v>229</v>
      </c>
      <c r="D77" s="10" t="s">
        <v>68</v>
      </c>
      <c r="E77" s="1">
        <v>2201.24</v>
      </c>
      <c r="F77" s="10">
        <v>1.0</v>
      </c>
      <c r="G77" s="1"/>
      <c r="H77" s="10" t="s">
        <v>230</v>
      </c>
      <c r="I77" s="10" t="s">
        <v>23</v>
      </c>
      <c r="J77" s="10" t="s">
        <v>24</v>
      </c>
      <c r="K77" s="10" t="s">
        <v>16</v>
      </c>
      <c r="L77" s="10" t="s">
        <v>24</v>
      </c>
    </row>
    <row r="78" ht="15.75" customHeight="1">
      <c r="A78" s="10" t="s">
        <v>231</v>
      </c>
      <c r="B78" s="10" t="s">
        <v>101</v>
      </c>
      <c r="C78" s="10" t="s">
        <v>232</v>
      </c>
      <c r="D78" s="10" t="s">
        <v>143</v>
      </c>
      <c r="E78" s="1">
        <v>345.0</v>
      </c>
      <c r="F78" s="10">
        <v>1.0</v>
      </c>
      <c r="G78" s="1"/>
      <c r="I78" s="10" t="s">
        <v>23</v>
      </c>
      <c r="J78" s="10" t="s">
        <v>24</v>
      </c>
      <c r="K78" s="10" t="s">
        <v>16</v>
      </c>
      <c r="L78" s="10" t="s">
        <v>25</v>
      </c>
    </row>
    <row r="79" ht="15.75" customHeight="1">
      <c r="A79" s="10" t="s">
        <v>233</v>
      </c>
      <c r="B79" s="10" t="s">
        <v>101</v>
      </c>
      <c r="C79" s="10" t="s">
        <v>234</v>
      </c>
      <c r="D79" s="10" t="s">
        <v>21</v>
      </c>
      <c r="E79" s="1">
        <v>1308.0</v>
      </c>
      <c r="F79" s="10">
        <v>1.0</v>
      </c>
      <c r="G79" s="1"/>
      <c r="H79" s="10" t="s">
        <v>235</v>
      </c>
      <c r="I79" s="10" t="s">
        <v>23</v>
      </c>
      <c r="J79" s="10" t="s">
        <v>24</v>
      </c>
      <c r="K79" s="10" t="s">
        <v>3</v>
      </c>
      <c r="L79" s="10" t="s">
        <v>25</v>
      </c>
    </row>
    <row r="80" ht="15.75" customHeight="1">
      <c r="A80" s="10" t="s">
        <v>236</v>
      </c>
      <c r="B80" s="10" t="s">
        <v>237</v>
      </c>
      <c r="C80" s="10" t="s">
        <v>238</v>
      </c>
      <c r="D80" s="10" t="s">
        <v>21</v>
      </c>
      <c r="E80" s="1">
        <v>2745.9</v>
      </c>
      <c r="F80" s="10">
        <v>1.0</v>
      </c>
      <c r="G80" s="1"/>
      <c r="H80" s="10" t="s">
        <v>239</v>
      </c>
      <c r="I80" s="10" t="s">
        <v>240</v>
      </c>
      <c r="J80" s="10" t="s">
        <v>24</v>
      </c>
      <c r="K80" s="10" t="s">
        <v>26</v>
      </c>
      <c r="L80" s="10" t="s">
        <v>241</v>
      </c>
    </row>
    <row r="81" ht="15.75" customHeight="1">
      <c r="A81" s="10" t="s">
        <v>242</v>
      </c>
      <c r="B81" s="10" t="s">
        <v>39</v>
      </c>
      <c r="C81" s="10" t="s">
        <v>243</v>
      </c>
      <c r="D81" s="10" t="s">
        <v>35</v>
      </c>
      <c r="E81" s="1">
        <v>14.18</v>
      </c>
      <c r="F81" s="10">
        <v>1.0</v>
      </c>
      <c r="G81" s="1"/>
      <c r="H81" s="10" t="s">
        <v>244</v>
      </c>
      <c r="I81" s="10" t="s">
        <v>23</v>
      </c>
      <c r="J81" s="10" t="s">
        <v>24</v>
      </c>
      <c r="K81" s="10" t="s">
        <v>1</v>
      </c>
      <c r="L81" s="10" t="s">
        <v>25</v>
      </c>
    </row>
    <row r="82" ht="15.75" customHeight="1">
      <c r="A82" s="10" t="s">
        <v>245</v>
      </c>
      <c r="B82" s="10" t="s">
        <v>126</v>
      </c>
      <c r="C82" s="10" t="s">
        <v>246</v>
      </c>
      <c r="D82" s="10" t="s">
        <v>113</v>
      </c>
      <c r="E82" s="1">
        <v>199.56</v>
      </c>
      <c r="F82" s="10">
        <v>1.0</v>
      </c>
      <c r="G82" s="2"/>
      <c r="H82" s="10" t="s">
        <v>247</v>
      </c>
      <c r="I82" s="10" t="s">
        <v>23</v>
      </c>
      <c r="J82" s="10" t="s">
        <v>24</v>
      </c>
      <c r="K82" s="10" t="s">
        <v>1</v>
      </c>
      <c r="L82" s="10" t="s">
        <v>25</v>
      </c>
    </row>
    <row r="83" ht="15.75" customHeight="1">
      <c r="A83" s="10" t="s">
        <v>248</v>
      </c>
      <c r="B83" s="10" t="s">
        <v>249</v>
      </c>
      <c r="C83" s="10" t="s">
        <v>250</v>
      </c>
      <c r="D83" s="10" t="s">
        <v>113</v>
      </c>
      <c r="E83" s="1">
        <v>40.53</v>
      </c>
      <c r="F83" s="10">
        <v>1.0</v>
      </c>
      <c r="G83" s="1"/>
      <c r="H83" s="10" t="s">
        <v>251</v>
      </c>
      <c r="I83" s="10" t="s">
        <v>23</v>
      </c>
      <c r="J83" s="10" t="s">
        <v>25</v>
      </c>
      <c r="K83" s="10" t="s">
        <v>1</v>
      </c>
      <c r="L83" s="10" t="s">
        <v>25</v>
      </c>
    </row>
    <row r="84" ht="15.75" customHeight="1">
      <c r="A84" s="10" t="s">
        <v>252</v>
      </c>
      <c r="B84" s="10" t="s">
        <v>39</v>
      </c>
      <c r="C84" s="10" t="s">
        <v>253</v>
      </c>
      <c r="D84" s="10" t="s">
        <v>35</v>
      </c>
      <c r="E84" s="1">
        <v>44.35</v>
      </c>
      <c r="F84" s="10">
        <v>1.0</v>
      </c>
      <c r="G84" s="1"/>
      <c r="I84" s="10" t="s">
        <v>240</v>
      </c>
      <c r="J84" s="10" t="s">
        <v>24</v>
      </c>
      <c r="K84" s="10" t="s">
        <v>1</v>
      </c>
      <c r="L84" s="10" t="s">
        <v>25</v>
      </c>
    </row>
    <row r="85" ht="15.75" customHeight="1">
      <c r="E85" s="1"/>
      <c r="G85" s="1"/>
    </row>
    <row r="86" ht="15.75" customHeight="1">
      <c r="E86" s="1"/>
      <c r="G86" s="2"/>
    </row>
    <row r="87" ht="15.75" customHeight="1">
      <c r="E87" s="1"/>
      <c r="G87" s="2"/>
    </row>
    <row r="88" ht="15.75" customHeight="1">
      <c r="E88" s="1"/>
      <c r="G88" s="2"/>
    </row>
    <row r="89" ht="15.75" customHeight="1">
      <c r="E89" s="1"/>
      <c r="G89" s="2"/>
    </row>
    <row r="90" ht="15.75" customHeight="1">
      <c r="E90" s="1"/>
      <c r="G90" s="2"/>
    </row>
    <row r="91" ht="15.75" customHeight="1">
      <c r="E91" s="1"/>
      <c r="G91" s="2"/>
    </row>
    <row r="92" ht="15.75" customHeight="1">
      <c r="E92" s="1"/>
      <c r="G92" s="2"/>
    </row>
    <row r="93" ht="15.75" customHeight="1">
      <c r="E93" s="1"/>
      <c r="G93" s="2"/>
    </row>
    <row r="94" ht="15.75" customHeight="1">
      <c r="E94" s="1"/>
      <c r="G94" s="2"/>
    </row>
    <row r="95" ht="15.75" customHeight="1">
      <c r="E95" s="1"/>
      <c r="G95" s="2"/>
    </row>
    <row r="96" ht="15.75" customHeight="1">
      <c r="E96" s="1"/>
      <c r="G96" s="2"/>
    </row>
    <row r="97" ht="15.75" customHeight="1">
      <c r="E97" s="1"/>
      <c r="G97" s="2"/>
    </row>
    <row r="98" ht="15.75" customHeight="1">
      <c r="E98" s="1"/>
      <c r="G98" s="2"/>
    </row>
    <row r="99" ht="15.75" customHeight="1">
      <c r="E99" s="1"/>
      <c r="G99" s="2"/>
    </row>
    <row r="100" ht="15.75" customHeight="1">
      <c r="E100" s="1"/>
      <c r="G100" s="2"/>
    </row>
    <row r="101" ht="15.75" customHeight="1">
      <c r="E101" s="1"/>
      <c r="G101" s="2"/>
    </row>
    <row r="102" ht="15.75" customHeight="1">
      <c r="E102" s="1"/>
      <c r="G102" s="2"/>
    </row>
    <row r="103" ht="15.75" customHeight="1">
      <c r="E103" s="1"/>
      <c r="G103" s="2"/>
    </row>
    <row r="104" ht="15.75" customHeight="1">
      <c r="E104" s="1"/>
      <c r="G104" s="2"/>
    </row>
    <row r="105" ht="15.75" customHeight="1">
      <c r="E105" s="1"/>
      <c r="G105" s="2"/>
    </row>
    <row r="106" ht="15.75" customHeight="1">
      <c r="E106" s="1"/>
      <c r="G106" s="2"/>
    </row>
    <row r="107" ht="15.75" customHeight="1">
      <c r="E107" s="1"/>
      <c r="G107" s="2"/>
    </row>
    <row r="108" ht="15.75" customHeight="1">
      <c r="E108" s="1"/>
      <c r="G108" s="2"/>
    </row>
    <row r="109" ht="15.75" customHeight="1">
      <c r="E109" s="1"/>
      <c r="G109" s="2"/>
    </row>
    <row r="110" ht="15.75" customHeight="1">
      <c r="E110" s="1"/>
      <c r="G110" s="2"/>
    </row>
    <row r="111" ht="15.75" customHeight="1">
      <c r="E111" s="1"/>
      <c r="G111" s="2"/>
    </row>
    <row r="112" ht="15.75" customHeight="1">
      <c r="E112" s="1"/>
      <c r="G112" s="2"/>
    </row>
    <row r="113" ht="15.75" customHeight="1">
      <c r="E113" s="1"/>
      <c r="G113" s="2"/>
    </row>
    <row r="114" ht="15.75" customHeight="1">
      <c r="E114" s="1"/>
      <c r="G114" s="2"/>
    </row>
    <row r="115" ht="15.75" customHeight="1">
      <c r="E115" s="1"/>
      <c r="G115" s="2"/>
    </row>
    <row r="116" ht="15.75" customHeight="1">
      <c r="E116" s="1"/>
      <c r="G116" s="2"/>
    </row>
    <row r="117" ht="15.75" customHeight="1">
      <c r="E117" s="1"/>
      <c r="G117" s="2"/>
    </row>
    <row r="118" ht="15.75" customHeight="1">
      <c r="E118" s="1"/>
      <c r="G118" s="2"/>
    </row>
    <row r="119" ht="15.75" customHeight="1">
      <c r="E119" s="1"/>
      <c r="G119" s="2"/>
    </row>
    <row r="120" ht="15.75" customHeight="1">
      <c r="E120" s="1"/>
      <c r="G120" s="2"/>
    </row>
    <row r="121" ht="15.75" customHeight="1">
      <c r="E121" s="1"/>
      <c r="G121" s="2"/>
    </row>
    <row r="122" ht="15.75" customHeight="1">
      <c r="E122" s="1"/>
      <c r="G122" s="2"/>
    </row>
    <row r="123" ht="15.75" customHeight="1">
      <c r="E123" s="1"/>
      <c r="G123" s="2"/>
    </row>
    <row r="124" ht="15.75" customHeight="1">
      <c r="E124" s="1"/>
      <c r="G124" s="2"/>
    </row>
    <row r="125" ht="15.75" customHeight="1">
      <c r="E125" s="1"/>
      <c r="G125" s="2"/>
    </row>
    <row r="126" ht="15.75" customHeight="1">
      <c r="E126" s="1"/>
      <c r="G126" s="2"/>
    </row>
    <row r="127" ht="15.75" customHeight="1">
      <c r="E127" s="1"/>
      <c r="G127" s="2"/>
    </row>
    <row r="128" ht="15.75" customHeight="1">
      <c r="E128" s="1"/>
      <c r="G128" s="2"/>
    </row>
    <row r="129" ht="15.75" customHeight="1">
      <c r="E129" s="1"/>
      <c r="G129" s="2"/>
    </row>
    <row r="130" ht="15.75" customHeight="1">
      <c r="E130" s="1"/>
      <c r="G130" s="2"/>
    </row>
    <row r="131" ht="15.75" customHeight="1">
      <c r="E131" s="1"/>
      <c r="G131" s="2"/>
    </row>
    <row r="132" ht="15.75" customHeight="1">
      <c r="E132" s="1"/>
      <c r="G132" s="2"/>
    </row>
    <row r="133" ht="15.75" customHeight="1">
      <c r="E133" s="1"/>
      <c r="G133" s="2"/>
    </row>
    <row r="134" ht="15.75" customHeight="1">
      <c r="E134" s="1"/>
      <c r="G134" s="2"/>
    </row>
    <row r="135" ht="15.75" customHeight="1">
      <c r="E135" s="1"/>
      <c r="G135" s="2"/>
    </row>
    <row r="136" ht="15.75" customHeight="1">
      <c r="E136" s="1"/>
      <c r="G136" s="2"/>
    </row>
    <row r="137" ht="15.75" customHeight="1">
      <c r="E137" s="1"/>
      <c r="G137" s="2"/>
    </row>
    <row r="138" ht="15.75" customHeight="1">
      <c r="E138" s="1"/>
      <c r="G138" s="2"/>
    </row>
    <row r="139" ht="15.75" customHeight="1">
      <c r="E139" s="1"/>
      <c r="G139" s="2"/>
    </row>
    <row r="140" ht="15.75" customHeight="1">
      <c r="E140" s="1"/>
      <c r="G140" s="2"/>
    </row>
    <row r="141" ht="15.75" customHeight="1">
      <c r="E141" s="1"/>
      <c r="G141" s="2"/>
    </row>
    <row r="142" ht="15.75" customHeight="1">
      <c r="E142" s="1"/>
      <c r="G142" s="2"/>
    </row>
    <row r="143" ht="15.75" customHeight="1">
      <c r="E143" s="1"/>
      <c r="G143" s="2"/>
    </row>
    <row r="144" ht="15.75" customHeight="1">
      <c r="E144" s="1"/>
      <c r="G144" s="2"/>
    </row>
    <row r="145" ht="15.75" customHeight="1">
      <c r="E145" s="1"/>
      <c r="G145" s="2"/>
    </row>
    <row r="146" ht="15.75" customHeight="1">
      <c r="E146" s="1"/>
      <c r="G146" s="2"/>
    </row>
    <row r="147" ht="15.75" customHeight="1">
      <c r="E147" s="1"/>
      <c r="G147" s="2"/>
    </row>
    <row r="148" ht="15.75" customHeight="1">
      <c r="E148" s="1"/>
      <c r="G148" s="2"/>
    </row>
    <row r="149" ht="15.75" customHeight="1">
      <c r="E149" s="1"/>
      <c r="G149" s="2"/>
    </row>
    <row r="150" ht="15.75" customHeight="1">
      <c r="E150" s="1"/>
      <c r="G150" s="2"/>
    </row>
    <row r="151" ht="15.75" customHeight="1">
      <c r="E151" s="1"/>
      <c r="G151" s="2"/>
    </row>
    <row r="152" ht="15.75" customHeight="1">
      <c r="E152" s="1"/>
      <c r="G152" s="2"/>
    </row>
    <row r="153" ht="15.75" customHeight="1">
      <c r="E153" s="1"/>
      <c r="G153" s="2"/>
    </row>
    <row r="154" ht="15.75" customHeight="1">
      <c r="E154" s="1"/>
      <c r="G154" s="2"/>
    </row>
    <row r="155" ht="15.75" customHeight="1">
      <c r="E155" s="1"/>
      <c r="G155" s="2"/>
    </row>
    <row r="156" ht="15.75" customHeight="1">
      <c r="E156" s="1"/>
      <c r="G156" s="2"/>
    </row>
    <row r="157" ht="15.75" customHeight="1">
      <c r="E157" s="1"/>
      <c r="G157" s="2"/>
    </row>
    <row r="158" ht="15.75" customHeight="1">
      <c r="E158" s="1"/>
      <c r="G158" s="2"/>
    </row>
    <row r="159" ht="15.75" customHeight="1">
      <c r="E159" s="1"/>
      <c r="G159" s="2"/>
    </row>
    <row r="160" ht="15.75" customHeight="1">
      <c r="E160" s="1"/>
      <c r="G160" s="2"/>
    </row>
    <row r="161" ht="15.75" customHeight="1">
      <c r="E161" s="1"/>
      <c r="G161" s="2"/>
    </row>
    <row r="162" ht="15.75" customHeight="1">
      <c r="E162" s="1"/>
      <c r="G162" s="2"/>
    </row>
    <row r="163" ht="15.75" customHeight="1">
      <c r="E163" s="1"/>
      <c r="G163" s="2"/>
    </row>
    <row r="164" ht="15.75" customHeight="1">
      <c r="E164" s="1"/>
      <c r="G164" s="2"/>
    </row>
    <row r="165" ht="15.75" customHeight="1">
      <c r="E165" s="1"/>
      <c r="G165" s="2"/>
    </row>
    <row r="166" ht="15.75" customHeight="1">
      <c r="E166" s="1"/>
      <c r="G166" s="2"/>
    </row>
    <row r="167" ht="15.75" customHeight="1">
      <c r="E167" s="1"/>
      <c r="G167" s="2"/>
    </row>
    <row r="168" ht="15.75" customHeight="1">
      <c r="E168" s="1"/>
      <c r="G168" s="2"/>
    </row>
    <row r="169" ht="15.75" customHeight="1">
      <c r="E169" s="1"/>
      <c r="G169" s="2"/>
    </row>
    <row r="170" ht="15.75" customHeight="1">
      <c r="E170" s="1"/>
      <c r="G170" s="2"/>
    </row>
    <row r="171" ht="15.75" customHeight="1">
      <c r="E171" s="1"/>
      <c r="G171" s="2"/>
    </row>
    <row r="172" ht="15.75" customHeight="1">
      <c r="E172" s="1"/>
      <c r="G172" s="2"/>
    </row>
    <row r="173" ht="15.75" customHeight="1">
      <c r="E173" s="1"/>
      <c r="G173" s="2"/>
    </row>
    <row r="174" ht="15.75" customHeight="1">
      <c r="E174" s="1"/>
      <c r="G174" s="2"/>
    </row>
    <row r="175" ht="15.75" customHeight="1">
      <c r="E175" s="1"/>
      <c r="G175" s="2"/>
    </row>
    <row r="176" ht="15.75" customHeight="1">
      <c r="E176" s="1"/>
      <c r="G176" s="2"/>
    </row>
    <row r="177" ht="15.75" customHeight="1">
      <c r="E177" s="1"/>
      <c r="G177" s="2"/>
    </row>
    <row r="178" ht="15.75" customHeight="1">
      <c r="E178" s="1"/>
      <c r="G178" s="2"/>
    </row>
    <row r="179" ht="15.75" customHeight="1">
      <c r="E179" s="1"/>
      <c r="G179" s="2"/>
    </row>
    <row r="180" ht="15.75" customHeight="1">
      <c r="E180" s="1"/>
      <c r="G180" s="2"/>
    </row>
    <row r="181" ht="15.75" customHeight="1">
      <c r="E181" s="1"/>
      <c r="G181" s="2"/>
    </row>
    <row r="182" ht="15.75" customHeight="1">
      <c r="E182" s="1"/>
      <c r="G182" s="2"/>
    </row>
    <row r="183" ht="15.75" customHeight="1">
      <c r="E183" s="1"/>
      <c r="G183" s="2"/>
    </row>
    <row r="184" ht="15.75" customHeight="1">
      <c r="E184" s="1"/>
      <c r="G184" s="2"/>
    </row>
    <row r="185" ht="15.75" customHeight="1">
      <c r="E185" s="1"/>
      <c r="G185" s="2"/>
    </row>
    <row r="186" ht="15.75" customHeight="1">
      <c r="E186" s="1"/>
      <c r="G186" s="2"/>
    </row>
    <row r="187" ht="15.75" customHeight="1">
      <c r="E187" s="1"/>
      <c r="G187" s="2"/>
    </row>
    <row r="188" ht="15.75" customHeight="1">
      <c r="E188" s="1"/>
      <c r="G188" s="2"/>
    </row>
    <row r="189" ht="15.75" customHeight="1">
      <c r="E189" s="1"/>
      <c r="G189" s="2"/>
    </row>
    <row r="190" ht="15.75" customHeight="1">
      <c r="E190" s="1"/>
      <c r="G190" s="2"/>
    </row>
    <row r="191" ht="15.75" customHeight="1">
      <c r="E191" s="1"/>
      <c r="G191" s="2"/>
    </row>
    <row r="192" ht="15.75" customHeight="1">
      <c r="E192" s="1"/>
      <c r="G192" s="2"/>
    </row>
    <row r="193" ht="15.75" customHeight="1">
      <c r="E193" s="1"/>
      <c r="G193" s="2"/>
    </row>
    <row r="194" ht="15.75" customHeight="1">
      <c r="E194" s="1"/>
      <c r="G194" s="2"/>
    </row>
    <row r="195" ht="15.75" customHeight="1">
      <c r="E195" s="1"/>
      <c r="G195" s="2"/>
    </row>
    <row r="196" ht="15.75" customHeight="1">
      <c r="E196" s="1"/>
      <c r="G196" s="2"/>
    </row>
    <row r="197" ht="15.75" customHeight="1">
      <c r="E197" s="1"/>
      <c r="G197" s="2"/>
    </row>
    <row r="198" ht="15.75" customHeight="1">
      <c r="E198" s="1"/>
      <c r="G198" s="2"/>
    </row>
    <row r="199" ht="15.75" customHeight="1">
      <c r="E199" s="1"/>
      <c r="G199" s="2"/>
    </row>
    <row r="200" ht="15.75" customHeight="1">
      <c r="E200" s="1"/>
      <c r="G200" s="2"/>
    </row>
    <row r="201" ht="15.75" customHeight="1">
      <c r="E201" s="1"/>
      <c r="G201" s="2"/>
    </row>
    <row r="202" ht="15.75" customHeight="1">
      <c r="E202" s="1"/>
      <c r="G202" s="2"/>
    </row>
    <row r="203" ht="15.75" customHeight="1">
      <c r="E203" s="1"/>
      <c r="G203" s="2"/>
    </row>
    <row r="204" ht="15.75" customHeight="1">
      <c r="E204" s="1"/>
      <c r="G204" s="2"/>
    </row>
    <row r="205" ht="15.75" customHeight="1">
      <c r="E205" s="1"/>
      <c r="G205" s="2"/>
    </row>
    <row r="206" ht="15.75" customHeight="1">
      <c r="E206" s="1"/>
      <c r="G206" s="2"/>
    </row>
    <row r="207" ht="15.75" customHeight="1">
      <c r="E207" s="1"/>
      <c r="G207" s="2"/>
    </row>
    <row r="208" ht="15.75" customHeight="1">
      <c r="E208" s="1"/>
      <c r="G208" s="2"/>
    </row>
    <row r="209" ht="15.75" customHeight="1">
      <c r="E209" s="1"/>
      <c r="G209" s="2"/>
    </row>
    <row r="210" ht="15.75" customHeight="1">
      <c r="E210" s="1"/>
      <c r="G210" s="2"/>
    </row>
    <row r="211" ht="15.75" customHeight="1">
      <c r="E211" s="1"/>
      <c r="G211" s="2"/>
    </row>
    <row r="212" ht="15.75" customHeight="1">
      <c r="E212" s="1"/>
      <c r="G212" s="2"/>
    </row>
    <row r="213" ht="15.75" customHeight="1">
      <c r="E213" s="1"/>
      <c r="G213" s="2"/>
    </row>
    <row r="214" ht="15.75" customHeight="1">
      <c r="E214" s="1"/>
      <c r="G214" s="2"/>
    </row>
    <row r="215" ht="15.75" customHeight="1">
      <c r="E215" s="1"/>
      <c r="G215" s="2"/>
    </row>
    <row r="216" ht="15.75" customHeight="1">
      <c r="E216" s="1"/>
      <c r="G216" s="2"/>
    </row>
    <row r="217" ht="15.75" customHeight="1">
      <c r="E217" s="1"/>
      <c r="G217" s="2"/>
    </row>
    <row r="218" ht="15.75" customHeight="1">
      <c r="E218" s="1"/>
      <c r="G218" s="2"/>
    </row>
    <row r="219" ht="15.75" customHeight="1">
      <c r="E219" s="1"/>
      <c r="G219" s="2"/>
    </row>
    <row r="220" ht="15.75" customHeight="1">
      <c r="E220" s="1"/>
      <c r="G220" s="2"/>
    </row>
    <row r="221" ht="15.75" customHeight="1">
      <c r="E221" s="1"/>
      <c r="G221" s="2"/>
    </row>
    <row r="222" ht="15.75" customHeight="1">
      <c r="E222" s="1"/>
      <c r="G222" s="2"/>
    </row>
    <row r="223" ht="15.75" customHeight="1">
      <c r="E223" s="1"/>
      <c r="G223" s="2"/>
    </row>
    <row r="224" ht="15.75" customHeight="1">
      <c r="E224" s="1"/>
      <c r="G224" s="2"/>
    </row>
    <row r="225" ht="15.75" customHeight="1">
      <c r="E225" s="1"/>
      <c r="G225" s="2"/>
    </row>
    <row r="226" ht="15.75" customHeight="1">
      <c r="E226" s="1"/>
      <c r="G226" s="2"/>
    </row>
    <row r="227" ht="15.75" customHeight="1">
      <c r="E227" s="1"/>
      <c r="G227" s="2"/>
    </row>
    <row r="228" ht="15.75" customHeight="1">
      <c r="E228" s="1"/>
      <c r="G228" s="2"/>
    </row>
    <row r="229" ht="15.75" customHeight="1">
      <c r="E229" s="1"/>
      <c r="G229" s="2"/>
    </row>
    <row r="230" ht="15.75" customHeight="1">
      <c r="E230" s="1"/>
      <c r="G230" s="2"/>
    </row>
    <row r="231" ht="15.75" customHeight="1">
      <c r="E231" s="1"/>
      <c r="G231" s="2"/>
    </row>
    <row r="232" ht="15.75" customHeight="1">
      <c r="E232" s="1"/>
      <c r="G232" s="2"/>
    </row>
    <row r="233" ht="15.75" customHeight="1">
      <c r="E233" s="1"/>
      <c r="G233" s="2"/>
    </row>
    <row r="234" ht="15.75" customHeight="1">
      <c r="E234" s="1"/>
      <c r="G234" s="2"/>
    </row>
    <row r="235" ht="15.75" customHeight="1">
      <c r="E235" s="1"/>
      <c r="G235" s="2"/>
    </row>
    <row r="236" ht="15.75" customHeight="1">
      <c r="E236" s="1"/>
      <c r="G236" s="2"/>
    </row>
    <row r="237" ht="15.75" customHeight="1">
      <c r="E237" s="1"/>
      <c r="G237" s="2"/>
    </row>
    <row r="238" ht="15.75" customHeight="1">
      <c r="E238" s="1"/>
      <c r="G238" s="2"/>
    </row>
    <row r="239" ht="15.75" customHeight="1">
      <c r="E239" s="1"/>
      <c r="G239" s="2"/>
    </row>
    <row r="240" ht="15.75" customHeight="1">
      <c r="E240" s="1"/>
      <c r="G240" s="2"/>
    </row>
    <row r="241" ht="15.75" customHeight="1">
      <c r="E241" s="1"/>
      <c r="G241" s="2"/>
    </row>
    <row r="242" ht="15.75" customHeight="1">
      <c r="E242" s="1"/>
      <c r="G242" s="2"/>
    </row>
    <row r="243" ht="15.75" customHeight="1">
      <c r="E243" s="1"/>
      <c r="G243" s="2"/>
    </row>
    <row r="244" ht="15.75" customHeight="1">
      <c r="E244" s="1"/>
      <c r="G244" s="2"/>
    </row>
    <row r="245" ht="15.75" customHeight="1">
      <c r="E245" s="1"/>
      <c r="G245" s="2"/>
    </row>
    <row r="246" ht="15.75" customHeight="1">
      <c r="E246" s="1"/>
      <c r="G246" s="2"/>
    </row>
    <row r="247" ht="15.75" customHeight="1">
      <c r="E247" s="1"/>
      <c r="G247" s="2"/>
    </row>
    <row r="248" ht="15.75" customHeight="1">
      <c r="E248" s="1"/>
      <c r="G248" s="2"/>
    </row>
    <row r="249" ht="15.75" customHeight="1">
      <c r="E249" s="1"/>
      <c r="G249" s="2"/>
    </row>
    <row r="250" ht="15.75" customHeight="1">
      <c r="E250" s="1"/>
      <c r="G250" s="2"/>
    </row>
    <row r="251" ht="15.75" customHeight="1">
      <c r="E251" s="1"/>
      <c r="G251" s="2"/>
    </row>
    <row r="252" ht="15.75" customHeight="1">
      <c r="E252" s="1"/>
      <c r="G252" s="2"/>
    </row>
    <row r="253" ht="15.75" customHeight="1">
      <c r="E253" s="1"/>
      <c r="G253" s="2"/>
    </row>
    <row r="254" ht="15.75" customHeight="1">
      <c r="E254" s="1"/>
      <c r="G254" s="2"/>
    </row>
    <row r="255" ht="15.75" customHeight="1">
      <c r="E255" s="1"/>
      <c r="G255" s="2"/>
    </row>
    <row r="256" ht="15.75" customHeight="1">
      <c r="E256" s="1"/>
      <c r="G256" s="2"/>
    </row>
    <row r="257" ht="15.75" customHeight="1">
      <c r="E257" s="1"/>
      <c r="G257" s="2"/>
    </row>
    <row r="258" ht="15.75" customHeight="1">
      <c r="E258" s="1"/>
      <c r="G258" s="2"/>
    </row>
    <row r="259" ht="15.75" customHeight="1">
      <c r="E259" s="1"/>
      <c r="G259" s="2"/>
    </row>
    <row r="260" ht="15.75" customHeight="1">
      <c r="E260" s="1"/>
      <c r="G260" s="2"/>
    </row>
    <row r="261" ht="15.75" customHeight="1">
      <c r="E261" s="1"/>
      <c r="G261" s="2"/>
    </row>
    <row r="262" ht="15.75" customHeight="1">
      <c r="E262" s="1"/>
      <c r="G262" s="2"/>
    </row>
    <row r="263" ht="15.75" customHeight="1">
      <c r="E263" s="1"/>
      <c r="G263" s="2"/>
    </row>
    <row r="264" ht="15.75" customHeight="1">
      <c r="E264" s="1"/>
      <c r="G264" s="2"/>
    </row>
    <row r="265" ht="15.75" customHeight="1">
      <c r="E265" s="1"/>
      <c r="G265" s="2"/>
    </row>
    <row r="266" ht="15.75" customHeight="1">
      <c r="E266" s="1"/>
      <c r="G266" s="2"/>
    </row>
    <row r="267" ht="15.75" customHeight="1">
      <c r="E267" s="1"/>
      <c r="G267" s="2"/>
    </row>
    <row r="268" ht="15.75" customHeight="1">
      <c r="E268" s="1"/>
      <c r="G268" s="2"/>
    </row>
    <row r="269" ht="15.75" customHeight="1">
      <c r="E269" s="1"/>
      <c r="G269" s="2"/>
    </row>
    <row r="270" ht="15.75" customHeight="1">
      <c r="E270" s="1"/>
      <c r="G270" s="2"/>
    </row>
    <row r="271" ht="15.75" customHeight="1">
      <c r="E271" s="1"/>
      <c r="G271" s="2"/>
    </row>
    <row r="272" ht="15.75" customHeight="1">
      <c r="E272" s="1"/>
      <c r="G272" s="2"/>
    </row>
    <row r="273" ht="15.75" customHeight="1">
      <c r="E273" s="1"/>
      <c r="G273" s="2"/>
    </row>
    <row r="274" ht="15.75" customHeight="1">
      <c r="E274" s="1"/>
      <c r="G274" s="2"/>
    </row>
    <row r="275" ht="15.75" customHeight="1">
      <c r="E275" s="1"/>
      <c r="G275" s="2"/>
    </row>
    <row r="276" ht="15.75" customHeight="1">
      <c r="E276" s="1"/>
      <c r="G276" s="2"/>
    </row>
    <row r="277" ht="15.75" customHeight="1">
      <c r="E277" s="1"/>
      <c r="G277" s="2"/>
    </row>
    <row r="278" ht="15.75" customHeight="1">
      <c r="E278" s="1"/>
      <c r="G278" s="2"/>
    </row>
    <row r="279" ht="15.75" customHeight="1">
      <c r="E279" s="1"/>
      <c r="G279" s="2"/>
    </row>
    <row r="280" ht="15.75" customHeight="1">
      <c r="E280" s="1"/>
      <c r="G280" s="2"/>
    </row>
    <row r="281" ht="15.75" customHeight="1">
      <c r="E281" s="1"/>
      <c r="G281" s="2"/>
    </row>
    <row r="282" ht="15.75" customHeight="1">
      <c r="E282" s="1"/>
      <c r="G282" s="2"/>
    </row>
    <row r="283" ht="15.75" customHeight="1">
      <c r="E283" s="1"/>
      <c r="G283" s="2"/>
    </row>
    <row r="284" ht="15.75" customHeight="1">
      <c r="E284" s="1"/>
      <c r="G284" s="2"/>
    </row>
    <row r="285" ht="15.75" customHeight="1">
      <c r="E285" s="1"/>
      <c r="G285" s="2"/>
    </row>
    <row r="286" ht="15.75" customHeight="1">
      <c r="E286" s="1"/>
      <c r="G286" s="2"/>
    </row>
    <row r="287" ht="15.75" customHeight="1">
      <c r="E287" s="1"/>
      <c r="G287" s="2"/>
    </row>
    <row r="288" ht="15.75" customHeight="1">
      <c r="E288" s="1"/>
      <c r="G288" s="2"/>
    </row>
    <row r="289" ht="15.75" customHeight="1">
      <c r="E289" s="1"/>
      <c r="G289" s="2"/>
    </row>
    <row r="290" ht="15.75" customHeight="1">
      <c r="E290" s="1"/>
      <c r="G290" s="2"/>
    </row>
    <row r="291" ht="15.75" customHeight="1">
      <c r="E291" s="1"/>
      <c r="G291" s="2"/>
    </row>
    <row r="292" ht="15.75" customHeight="1">
      <c r="E292" s="1"/>
      <c r="G292" s="2"/>
    </row>
    <row r="293" ht="15.75" customHeight="1">
      <c r="E293" s="1"/>
      <c r="G293" s="2"/>
    </row>
    <row r="294" ht="15.75" customHeight="1">
      <c r="E294" s="1"/>
      <c r="G294" s="2"/>
    </row>
    <row r="295" ht="15.75" customHeight="1">
      <c r="E295" s="1"/>
      <c r="G295" s="2"/>
    </row>
    <row r="296" ht="15.75" customHeight="1">
      <c r="E296" s="1"/>
      <c r="G296" s="2"/>
    </row>
    <row r="297" ht="15.75" customHeight="1">
      <c r="E297" s="1"/>
      <c r="G297" s="2"/>
    </row>
    <row r="298" ht="15.75" customHeight="1">
      <c r="E298" s="1"/>
      <c r="G298" s="2"/>
    </row>
    <row r="299" ht="15.75" customHeight="1">
      <c r="E299" s="1"/>
      <c r="G299" s="2"/>
    </row>
    <row r="300" ht="15.75" customHeight="1">
      <c r="E300" s="1"/>
      <c r="G300" s="2"/>
    </row>
    <row r="301" ht="15.75" customHeight="1">
      <c r="E301" s="1"/>
      <c r="G301" s="2"/>
    </row>
    <row r="302" ht="15.75" customHeight="1">
      <c r="E302" s="1"/>
      <c r="G302" s="2"/>
    </row>
    <row r="303" ht="15.75" customHeight="1">
      <c r="E303" s="1"/>
      <c r="G303" s="2"/>
    </row>
    <row r="304" ht="15.75" customHeight="1">
      <c r="E304" s="1"/>
      <c r="G304" s="2"/>
    </row>
    <row r="305" ht="15.75" customHeight="1">
      <c r="E305" s="1"/>
      <c r="G305" s="2"/>
    </row>
    <row r="306" ht="15.75" customHeight="1">
      <c r="E306" s="1"/>
      <c r="G306" s="2"/>
    </row>
    <row r="307" ht="15.75" customHeight="1">
      <c r="E307" s="1"/>
      <c r="G307" s="2"/>
    </row>
    <row r="308" ht="15.75" customHeight="1">
      <c r="E308" s="1"/>
      <c r="G308" s="2"/>
    </row>
    <row r="309" ht="15.75" customHeight="1">
      <c r="E309" s="1"/>
      <c r="G309" s="2"/>
    </row>
    <row r="310" ht="15.75" customHeight="1">
      <c r="E310" s="1"/>
      <c r="G310" s="2"/>
    </row>
    <row r="311" ht="15.75" customHeight="1">
      <c r="E311" s="1"/>
      <c r="G311" s="2"/>
    </row>
    <row r="312" ht="15.75" customHeight="1">
      <c r="E312" s="1"/>
      <c r="G312" s="2"/>
    </row>
    <row r="313" ht="15.75" customHeight="1">
      <c r="E313" s="1"/>
      <c r="G313" s="2"/>
    </row>
    <row r="314" ht="15.75" customHeight="1">
      <c r="E314" s="1"/>
      <c r="G314" s="2"/>
    </row>
    <row r="315" ht="15.75" customHeight="1">
      <c r="E315" s="1"/>
      <c r="G315" s="2"/>
    </row>
    <row r="316" ht="15.75" customHeight="1">
      <c r="E316" s="1"/>
      <c r="G316" s="2"/>
    </row>
    <row r="317" ht="15.75" customHeight="1">
      <c r="E317" s="1"/>
      <c r="G317" s="2"/>
    </row>
    <row r="318" ht="15.75" customHeight="1">
      <c r="E318" s="1"/>
      <c r="G318" s="2"/>
    </row>
    <row r="319" ht="15.75" customHeight="1">
      <c r="E319" s="1"/>
      <c r="G319" s="2"/>
    </row>
    <row r="320" ht="15.75" customHeight="1">
      <c r="E320" s="1"/>
      <c r="G320" s="2"/>
    </row>
    <row r="321" ht="15.75" customHeight="1">
      <c r="E321" s="1"/>
      <c r="G321" s="2"/>
    </row>
    <row r="322" ht="15.75" customHeight="1">
      <c r="E322" s="1"/>
      <c r="G322" s="2"/>
    </row>
    <row r="323" ht="15.75" customHeight="1">
      <c r="E323" s="1"/>
      <c r="G323" s="2"/>
    </row>
    <row r="324" ht="15.75" customHeight="1">
      <c r="E324" s="1"/>
      <c r="G324" s="2"/>
    </row>
    <row r="325" ht="15.75" customHeight="1">
      <c r="E325" s="1"/>
      <c r="G325" s="2"/>
    </row>
    <row r="326" ht="15.75" customHeight="1">
      <c r="E326" s="1"/>
      <c r="G326" s="2"/>
    </row>
    <row r="327" ht="15.75" customHeight="1">
      <c r="E327" s="1"/>
      <c r="G327" s="2"/>
    </row>
    <row r="328" ht="15.75" customHeight="1">
      <c r="E328" s="1"/>
      <c r="G328" s="2"/>
    </row>
    <row r="329" ht="15.75" customHeight="1">
      <c r="E329" s="1"/>
      <c r="G329" s="2"/>
    </row>
    <row r="330" ht="15.75" customHeight="1">
      <c r="E330" s="1"/>
      <c r="G330" s="2"/>
    </row>
    <row r="331" ht="15.75" customHeight="1">
      <c r="E331" s="1"/>
      <c r="G331" s="2"/>
    </row>
    <row r="332" ht="15.75" customHeight="1">
      <c r="E332" s="1"/>
      <c r="G332" s="2"/>
    </row>
    <row r="333" ht="15.75" customHeight="1">
      <c r="E333" s="1"/>
      <c r="G333" s="2"/>
    </row>
    <row r="334" ht="15.75" customHeight="1">
      <c r="E334" s="1"/>
      <c r="G334" s="2"/>
    </row>
    <row r="335" ht="15.75" customHeight="1">
      <c r="E335" s="1"/>
      <c r="G335" s="2"/>
    </row>
    <row r="336" ht="15.75" customHeight="1">
      <c r="E336" s="1"/>
      <c r="G336" s="2"/>
    </row>
    <row r="337" ht="15.75" customHeight="1">
      <c r="E337" s="1"/>
      <c r="G337" s="2"/>
    </row>
    <row r="338" ht="15.75" customHeight="1">
      <c r="E338" s="1"/>
      <c r="G338" s="2"/>
    </row>
    <row r="339" ht="15.75" customHeight="1">
      <c r="E339" s="1"/>
      <c r="G339" s="2"/>
    </row>
    <row r="340" ht="15.75" customHeight="1">
      <c r="E340" s="1"/>
      <c r="G340" s="2"/>
    </row>
    <row r="341" ht="15.75" customHeight="1">
      <c r="E341" s="1"/>
      <c r="G341" s="2"/>
    </row>
    <row r="342" ht="15.75" customHeight="1">
      <c r="E342" s="1"/>
      <c r="G342" s="2"/>
    </row>
    <row r="343" ht="15.75" customHeight="1">
      <c r="E343" s="1"/>
      <c r="G343" s="2"/>
    </row>
    <row r="344" ht="15.75" customHeight="1">
      <c r="E344" s="1"/>
      <c r="G344" s="2"/>
    </row>
    <row r="345" ht="15.75" customHeight="1">
      <c r="E345" s="1"/>
      <c r="G345" s="2"/>
    </row>
    <row r="346" ht="15.75" customHeight="1">
      <c r="E346" s="1"/>
      <c r="G346" s="2"/>
    </row>
    <row r="347" ht="15.75" customHeight="1">
      <c r="E347" s="1"/>
      <c r="G347" s="2"/>
    </row>
    <row r="348" ht="15.75" customHeight="1">
      <c r="E348" s="1"/>
      <c r="G348" s="2"/>
    </row>
    <row r="349" ht="15.75" customHeight="1">
      <c r="E349" s="1"/>
      <c r="G349" s="2"/>
    </row>
    <row r="350" ht="15.75" customHeight="1">
      <c r="E350" s="1"/>
      <c r="G350" s="2"/>
    </row>
    <row r="351" ht="15.75" customHeight="1">
      <c r="E351" s="1"/>
      <c r="G351" s="2"/>
    </row>
    <row r="352" ht="15.75" customHeight="1">
      <c r="E352" s="1"/>
      <c r="G352" s="2"/>
    </row>
    <row r="353" ht="15.75" customHeight="1">
      <c r="E353" s="1"/>
      <c r="G353" s="2"/>
    </row>
    <row r="354" ht="15.75" customHeight="1">
      <c r="E354" s="1"/>
      <c r="G354" s="2"/>
    </row>
    <row r="355" ht="15.75" customHeight="1">
      <c r="E355" s="1"/>
      <c r="G355" s="2"/>
    </row>
    <row r="356" ht="15.75" customHeight="1">
      <c r="E356" s="1"/>
      <c r="G356" s="2"/>
    </row>
    <row r="357" ht="15.75" customHeight="1">
      <c r="E357" s="1"/>
      <c r="G357" s="2"/>
    </row>
    <row r="358" ht="15.75" customHeight="1">
      <c r="E358" s="1"/>
      <c r="G358" s="2"/>
    </row>
    <row r="359" ht="15.75" customHeight="1">
      <c r="E359" s="1"/>
      <c r="G359" s="2"/>
    </row>
    <row r="360" ht="15.75" customHeight="1">
      <c r="E360" s="1"/>
      <c r="G360" s="2"/>
    </row>
    <row r="361" ht="15.75" customHeight="1">
      <c r="E361" s="1"/>
      <c r="G361" s="2"/>
    </row>
    <row r="362" ht="15.75" customHeight="1">
      <c r="E362" s="1"/>
      <c r="G362" s="2"/>
    </row>
    <row r="363" ht="15.75" customHeight="1">
      <c r="E363" s="1"/>
      <c r="G363" s="2"/>
    </row>
    <row r="364" ht="15.75" customHeight="1">
      <c r="E364" s="1"/>
      <c r="G364" s="2"/>
    </row>
    <row r="365" ht="15.75" customHeight="1">
      <c r="E365" s="1"/>
      <c r="G365" s="2"/>
    </row>
    <row r="366" ht="15.75" customHeight="1">
      <c r="E366" s="1"/>
      <c r="G366" s="2"/>
    </row>
    <row r="367" ht="15.75" customHeight="1">
      <c r="E367" s="1"/>
      <c r="G367" s="2"/>
    </row>
    <row r="368" ht="15.75" customHeight="1">
      <c r="E368" s="1"/>
      <c r="G368" s="2"/>
    </row>
    <row r="369" ht="15.75" customHeight="1">
      <c r="E369" s="1"/>
      <c r="G369" s="2"/>
    </row>
    <row r="370" ht="15.75" customHeight="1">
      <c r="E370" s="1"/>
      <c r="G370" s="2"/>
    </row>
    <row r="371" ht="15.75" customHeight="1">
      <c r="E371" s="1"/>
      <c r="G371" s="2"/>
    </row>
    <row r="372" ht="15.75" customHeight="1">
      <c r="E372" s="1"/>
      <c r="G372" s="2"/>
    </row>
    <row r="373" ht="15.75" customHeight="1">
      <c r="E373" s="1"/>
      <c r="G373" s="2"/>
    </row>
    <row r="374" ht="15.75" customHeight="1">
      <c r="E374" s="1"/>
      <c r="G374" s="2"/>
    </row>
    <row r="375" ht="15.75" customHeight="1">
      <c r="E375" s="1"/>
      <c r="G375" s="2"/>
    </row>
    <row r="376" ht="15.75" customHeight="1">
      <c r="E376" s="1"/>
      <c r="G376" s="2"/>
    </row>
    <row r="377" ht="15.75" customHeight="1">
      <c r="E377" s="1"/>
      <c r="G377" s="2"/>
    </row>
    <row r="378" ht="15.75" customHeight="1">
      <c r="E378" s="1"/>
      <c r="G378" s="2"/>
    </row>
    <row r="379" ht="15.75" customHeight="1">
      <c r="E379" s="1"/>
      <c r="G379" s="2"/>
    </row>
    <row r="380" ht="15.75" customHeight="1">
      <c r="E380" s="1"/>
      <c r="G380" s="2"/>
    </row>
    <row r="381" ht="15.75" customHeight="1">
      <c r="E381" s="1"/>
      <c r="G381" s="2"/>
    </row>
    <row r="382" ht="15.75" customHeight="1">
      <c r="E382" s="1"/>
      <c r="G382" s="2"/>
    </row>
    <row r="383" ht="15.75" customHeight="1">
      <c r="E383" s="1"/>
      <c r="G383" s="2"/>
    </row>
    <row r="384" ht="15.75" customHeight="1">
      <c r="E384" s="1"/>
      <c r="G384" s="2"/>
    </row>
    <row r="385" ht="15.75" customHeight="1">
      <c r="E385" s="1"/>
      <c r="G385" s="2"/>
    </row>
    <row r="386" ht="15.75" customHeight="1">
      <c r="E386" s="1"/>
      <c r="G386" s="2"/>
    </row>
    <row r="387" ht="15.75" customHeight="1">
      <c r="E387" s="1"/>
      <c r="G387" s="2"/>
    </row>
    <row r="388" ht="15.75" customHeight="1">
      <c r="E388" s="1"/>
      <c r="G388" s="2"/>
    </row>
    <row r="389" ht="15.75" customHeight="1">
      <c r="E389" s="1"/>
      <c r="G389" s="2"/>
    </row>
    <row r="390" ht="15.75" customHeight="1">
      <c r="E390" s="1"/>
      <c r="G390" s="2"/>
    </row>
    <row r="391" ht="15.75" customHeight="1">
      <c r="E391" s="1"/>
      <c r="G391" s="2"/>
    </row>
    <row r="392" ht="15.75" customHeight="1">
      <c r="E392" s="1"/>
      <c r="G392" s="2"/>
    </row>
    <row r="393" ht="15.75" customHeight="1">
      <c r="E393" s="1"/>
      <c r="G393" s="2"/>
    </row>
    <row r="394" ht="15.75" customHeight="1">
      <c r="E394" s="1"/>
      <c r="G394" s="2"/>
    </row>
    <row r="395" ht="15.75" customHeight="1">
      <c r="E395" s="1"/>
      <c r="G395" s="2"/>
    </row>
    <row r="396" ht="15.75" customHeight="1">
      <c r="E396" s="1"/>
      <c r="G396" s="2"/>
    </row>
    <row r="397" ht="15.75" customHeight="1">
      <c r="E397" s="1"/>
      <c r="G397" s="2"/>
    </row>
    <row r="398" ht="15.75" customHeight="1">
      <c r="E398" s="1"/>
      <c r="G398" s="2"/>
    </row>
    <row r="399" ht="15.75" customHeight="1">
      <c r="E399" s="1"/>
      <c r="G399" s="2"/>
    </row>
    <row r="400" ht="15.75" customHeight="1">
      <c r="E400" s="1"/>
      <c r="G400" s="2"/>
    </row>
    <row r="401" ht="15.75" customHeight="1">
      <c r="E401" s="1"/>
      <c r="G401" s="2"/>
    </row>
    <row r="402" ht="15.75" customHeight="1">
      <c r="E402" s="1"/>
      <c r="G402" s="2"/>
    </row>
    <row r="403" ht="15.75" customHeight="1">
      <c r="E403" s="1"/>
      <c r="G403" s="2"/>
    </row>
    <row r="404" ht="15.75" customHeight="1">
      <c r="E404" s="1"/>
      <c r="G404" s="2"/>
    </row>
    <row r="405" ht="15.75" customHeight="1">
      <c r="E405" s="1"/>
      <c r="G405" s="2"/>
    </row>
    <row r="406" ht="15.75" customHeight="1">
      <c r="E406" s="1"/>
      <c r="G406" s="2"/>
    </row>
    <row r="407" ht="15.75" customHeight="1">
      <c r="E407" s="1"/>
      <c r="G407" s="2"/>
    </row>
    <row r="408" ht="15.75" customHeight="1">
      <c r="E408" s="1"/>
      <c r="G408" s="2"/>
    </row>
    <row r="409" ht="15.75" customHeight="1">
      <c r="E409" s="1"/>
      <c r="G409" s="2"/>
    </row>
    <row r="410" ht="15.75" customHeight="1">
      <c r="E410" s="1"/>
      <c r="G410" s="2"/>
    </row>
    <row r="411" ht="15.75" customHeight="1">
      <c r="E411" s="1"/>
      <c r="G411" s="2"/>
    </row>
    <row r="412" ht="15.75" customHeight="1">
      <c r="E412" s="1"/>
      <c r="G412" s="2"/>
    </row>
    <row r="413" ht="15.75" customHeight="1">
      <c r="E413" s="1"/>
      <c r="G413" s="2"/>
    </row>
    <row r="414" ht="15.75" customHeight="1">
      <c r="E414" s="1"/>
      <c r="G414" s="2"/>
    </row>
    <row r="415" ht="15.75" customHeight="1">
      <c r="E415" s="1"/>
      <c r="G415" s="2"/>
    </row>
    <row r="416" ht="15.75" customHeight="1">
      <c r="E416" s="1"/>
      <c r="G416" s="2"/>
    </row>
    <row r="417" ht="15.75" customHeight="1">
      <c r="E417" s="1"/>
      <c r="G417" s="2"/>
    </row>
    <row r="418" ht="15.75" customHeight="1">
      <c r="E418" s="1"/>
      <c r="G418" s="2"/>
    </row>
    <row r="419" ht="15.75" customHeight="1">
      <c r="E419" s="1"/>
      <c r="G419" s="2"/>
    </row>
    <row r="420" ht="15.75" customHeight="1">
      <c r="E420" s="1"/>
      <c r="G420" s="2"/>
    </row>
    <row r="421" ht="15.75" customHeight="1">
      <c r="E421" s="1"/>
      <c r="G421" s="2"/>
    </row>
    <row r="422" ht="15.75" customHeight="1">
      <c r="E422" s="1"/>
      <c r="G422" s="2"/>
    </row>
    <row r="423" ht="15.75" customHeight="1">
      <c r="E423" s="1"/>
      <c r="G423" s="2"/>
    </row>
    <row r="424" ht="15.75" customHeight="1">
      <c r="E424" s="1"/>
      <c r="G424" s="2"/>
    </row>
    <row r="425" ht="15.75" customHeight="1">
      <c r="E425" s="1"/>
      <c r="G425" s="2"/>
    </row>
    <row r="426" ht="15.75" customHeight="1">
      <c r="E426" s="1"/>
      <c r="G426" s="2"/>
    </row>
    <row r="427" ht="15.75" customHeight="1">
      <c r="E427" s="1"/>
      <c r="G427" s="2"/>
    </row>
    <row r="428" ht="15.75" customHeight="1">
      <c r="E428" s="1"/>
      <c r="G428" s="2"/>
    </row>
    <row r="429" ht="15.75" customHeight="1">
      <c r="E429" s="1"/>
      <c r="G429" s="2"/>
    </row>
    <row r="430" ht="15.75" customHeight="1">
      <c r="E430" s="1"/>
      <c r="G430" s="2"/>
    </row>
    <row r="431" ht="15.75" customHeight="1">
      <c r="E431" s="1"/>
      <c r="G431" s="2"/>
    </row>
    <row r="432" ht="15.75" customHeight="1">
      <c r="E432" s="1"/>
      <c r="G432" s="2"/>
    </row>
    <row r="433" ht="15.75" customHeight="1">
      <c r="E433" s="1"/>
      <c r="G433" s="2"/>
    </row>
    <row r="434" ht="15.75" customHeight="1">
      <c r="E434" s="1"/>
      <c r="G434" s="2"/>
    </row>
    <row r="435" ht="15.75" customHeight="1">
      <c r="E435" s="1"/>
      <c r="G435" s="2"/>
    </row>
    <row r="436" ht="15.75" customHeight="1">
      <c r="E436" s="1"/>
      <c r="G436" s="2"/>
    </row>
    <row r="437" ht="15.75" customHeight="1">
      <c r="E437" s="1"/>
      <c r="G437" s="2"/>
    </row>
    <row r="438" ht="15.75" customHeight="1">
      <c r="E438" s="1"/>
      <c r="G438" s="2"/>
    </row>
    <row r="439" ht="15.75" customHeight="1">
      <c r="E439" s="1"/>
      <c r="G439" s="2"/>
    </row>
    <row r="440" ht="15.75" customHeight="1">
      <c r="E440" s="1"/>
      <c r="G440" s="2"/>
    </row>
    <row r="441" ht="15.75" customHeight="1">
      <c r="E441" s="1"/>
      <c r="G441" s="2"/>
    </row>
    <row r="442" ht="15.75" customHeight="1">
      <c r="E442" s="1"/>
      <c r="G442" s="2"/>
    </row>
    <row r="443" ht="15.75" customHeight="1">
      <c r="E443" s="1"/>
      <c r="G443" s="2"/>
    </row>
    <row r="444" ht="15.75" customHeight="1">
      <c r="E444" s="1"/>
      <c r="G444" s="2"/>
    </row>
    <row r="445" ht="15.75" customHeight="1">
      <c r="E445" s="1"/>
      <c r="G445" s="2"/>
    </row>
    <row r="446" ht="15.75" customHeight="1">
      <c r="E446" s="1"/>
      <c r="G446" s="2"/>
    </row>
    <row r="447" ht="15.75" customHeight="1">
      <c r="E447" s="1"/>
      <c r="G447" s="2"/>
    </row>
    <row r="448" ht="15.75" customHeight="1">
      <c r="E448" s="1"/>
      <c r="G448" s="2"/>
    </row>
    <row r="449" ht="15.75" customHeight="1">
      <c r="E449" s="1"/>
      <c r="G449" s="2"/>
    </row>
    <row r="450" ht="15.75" customHeight="1">
      <c r="E450" s="1"/>
      <c r="G450" s="2"/>
    </row>
    <row r="451" ht="15.75" customHeight="1">
      <c r="E451" s="1"/>
      <c r="G451" s="2"/>
    </row>
    <row r="452" ht="15.75" customHeight="1">
      <c r="E452" s="1"/>
      <c r="G452" s="2"/>
    </row>
    <row r="453" ht="15.75" customHeight="1">
      <c r="E453" s="1"/>
      <c r="G453" s="2"/>
    </row>
    <row r="454" ht="15.75" customHeight="1">
      <c r="E454" s="1"/>
      <c r="G454" s="2"/>
    </row>
    <row r="455" ht="15.75" customHeight="1">
      <c r="E455" s="1"/>
      <c r="G455" s="2"/>
    </row>
    <row r="456" ht="15.75" customHeight="1">
      <c r="E456" s="1"/>
      <c r="G456" s="2"/>
    </row>
    <row r="457" ht="15.75" customHeight="1">
      <c r="E457" s="1"/>
      <c r="G457" s="2"/>
    </row>
    <row r="458" ht="15.75" customHeight="1">
      <c r="E458" s="1"/>
      <c r="G458" s="2"/>
    </row>
    <row r="459" ht="15.75" customHeight="1">
      <c r="E459" s="1"/>
      <c r="G459" s="2"/>
    </row>
    <row r="460" ht="15.75" customHeight="1">
      <c r="E460" s="1"/>
      <c r="G460" s="2"/>
    </row>
    <row r="461" ht="15.75" customHeight="1">
      <c r="E461" s="1"/>
      <c r="G461" s="2"/>
    </row>
    <row r="462" ht="15.75" customHeight="1">
      <c r="E462" s="1"/>
      <c r="G462" s="2"/>
    </row>
    <row r="463" ht="15.75" customHeight="1">
      <c r="E463" s="1"/>
      <c r="G463" s="2"/>
    </row>
    <row r="464" ht="15.75" customHeight="1">
      <c r="E464" s="1"/>
      <c r="G464" s="2"/>
    </row>
    <row r="465" ht="15.75" customHeight="1">
      <c r="E465" s="1"/>
      <c r="G465" s="2"/>
    </row>
    <row r="466" ht="15.75" customHeight="1">
      <c r="E466" s="1"/>
      <c r="G466" s="2"/>
    </row>
    <row r="467" ht="15.75" customHeight="1">
      <c r="E467" s="1"/>
      <c r="G467" s="2"/>
    </row>
    <row r="468" ht="15.75" customHeight="1">
      <c r="E468" s="1"/>
      <c r="G468" s="2"/>
    </row>
    <row r="469" ht="15.75" customHeight="1">
      <c r="E469" s="1"/>
      <c r="G469" s="2"/>
    </row>
    <row r="470" ht="15.75" customHeight="1">
      <c r="E470" s="1"/>
      <c r="G470" s="2"/>
    </row>
    <row r="471" ht="15.75" customHeight="1">
      <c r="E471" s="1"/>
      <c r="G471" s="2"/>
    </row>
    <row r="472" ht="15.75" customHeight="1">
      <c r="E472" s="1"/>
      <c r="G472" s="2"/>
    </row>
    <row r="473" ht="15.75" customHeight="1">
      <c r="E473" s="1"/>
      <c r="G473" s="2"/>
    </row>
    <row r="474" ht="15.75" customHeight="1">
      <c r="E474" s="1"/>
      <c r="G474" s="2"/>
    </row>
    <row r="475" ht="15.75" customHeight="1">
      <c r="E475" s="1"/>
      <c r="G475" s="2"/>
    </row>
    <row r="476" ht="15.75" customHeight="1">
      <c r="E476" s="1"/>
      <c r="G476" s="2"/>
    </row>
    <row r="477" ht="15.75" customHeight="1">
      <c r="E477" s="1"/>
      <c r="G477" s="2"/>
    </row>
    <row r="478" ht="15.75" customHeight="1">
      <c r="E478" s="1"/>
      <c r="G478" s="2"/>
    </row>
    <row r="479" ht="15.75" customHeight="1">
      <c r="E479" s="1"/>
      <c r="G479" s="2"/>
    </row>
    <row r="480" ht="15.75" customHeight="1">
      <c r="E480" s="1"/>
      <c r="G480" s="2"/>
    </row>
    <row r="481" ht="15.75" customHeight="1">
      <c r="E481" s="1"/>
      <c r="G481" s="2"/>
    </row>
    <row r="482" ht="15.75" customHeight="1">
      <c r="E482" s="1"/>
      <c r="G482" s="2"/>
    </row>
    <row r="483" ht="15.75" customHeight="1">
      <c r="E483" s="1"/>
      <c r="G483" s="2"/>
    </row>
    <row r="484" ht="15.75" customHeight="1">
      <c r="E484" s="1"/>
      <c r="G484" s="2"/>
    </row>
    <row r="485" ht="15.75" customHeight="1">
      <c r="E485" s="1"/>
      <c r="G485" s="2"/>
    </row>
    <row r="486" ht="15.75" customHeight="1">
      <c r="E486" s="1"/>
      <c r="G486" s="2"/>
    </row>
    <row r="487" ht="15.75" customHeight="1">
      <c r="E487" s="1"/>
      <c r="G487" s="2"/>
    </row>
    <row r="488" ht="15.75" customHeight="1">
      <c r="E488" s="1"/>
      <c r="G488" s="2"/>
    </row>
    <row r="489" ht="15.75" customHeight="1">
      <c r="E489" s="1"/>
      <c r="G489" s="2"/>
    </row>
    <row r="490" ht="15.75" customHeight="1">
      <c r="E490" s="1"/>
      <c r="G490" s="2"/>
    </row>
    <row r="491" ht="15.75" customHeight="1">
      <c r="E491" s="1"/>
      <c r="G491" s="2"/>
    </row>
    <row r="492" ht="15.75" customHeight="1">
      <c r="E492" s="1"/>
      <c r="G492" s="2"/>
    </row>
    <row r="493" ht="15.75" customHeight="1">
      <c r="E493" s="1"/>
      <c r="G493" s="2"/>
    </row>
    <row r="494" ht="15.75" customHeight="1">
      <c r="E494" s="1"/>
      <c r="G494" s="2"/>
    </row>
    <row r="495" ht="15.75" customHeight="1">
      <c r="E495" s="1"/>
      <c r="G495" s="2"/>
    </row>
    <row r="496" ht="15.75" customHeight="1">
      <c r="E496" s="1"/>
      <c r="G496" s="2"/>
    </row>
    <row r="497" ht="15.75" customHeight="1">
      <c r="E497" s="1"/>
      <c r="G497" s="2"/>
    </row>
    <row r="498" ht="15.75" customHeight="1">
      <c r="E498" s="1"/>
      <c r="G498" s="2"/>
    </row>
    <row r="499" ht="15.75" customHeight="1">
      <c r="E499" s="1"/>
      <c r="G499" s="2"/>
    </row>
    <row r="500" ht="15.75" customHeight="1">
      <c r="E500" s="1"/>
      <c r="G500" s="2"/>
    </row>
    <row r="501" ht="15.75" customHeight="1">
      <c r="E501" s="1"/>
      <c r="G501" s="2"/>
    </row>
    <row r="502" ht="15.75" customHeight="1">
      <c r="E502" s="1"/>
      <c r="G502" s="2"/>
    </row>
    <row r="503" ht="15.75" customHeight="1">
      <c r="E503" s="1"/>
      <c r="G503" s="2"/>
    </row>
    <row r="504" ht="15.75" customHeight="1">
      <c r="E504" s="1"/>
      <c r="G504" s="2"/>
    </row>
    <row r="505" ht="15.75" customHeight="1">
      <c r="E505" s="1"/>
      <c r="G505" s="2"/>
    </row>
    <row r="506" ht="15.75" customHeight="1">
      <c r="E506" s="1"/>
      <c r="G506" s="2"/>
    </row>
    <row r="507" ht="15.75" customHeight="1">
      <c r="E507" s="1"/>
      <c r="G507" s="2"/>
    </row>
    <row r="508" ht="15.75" customHeight="1">
      <c r="E508" s="1"/>
      <c r="G508" s="2"/>
    </row>
    <row r="509" ht="15.75" customHeight="1">
      <c r="E509" s="1"/>
      <c r="G509" s="2"/>
    </row>
    <row r="510" ht="15.75" customHeight="1">
      <c r="E510" s="1"/>
      <c r="G510" s="2"/>
    </row>
    <row r="511" ht="15.75" customHeight="1">
      <c r="E511" s="1"/>
      <c r="G511" s="2"/>
    </row>
    <row r="512" ht="15.75" customHeight="1">
      <c r="E512" s="1"/>
      <c r="G512" s="2"/>
    </row>
    <row r="513" ht="15.75" customHeight="1">
      <c r="E513" s="1"/>
      <c r="G513" s="2"/>
    </row>
    <row r="514" ht="15.75" customHeight="1">
      <c r="E514" s="1"/>
      <c r="G514" s="2"/>
    </row>
    <row r="515" ht="15.75" customHeight="1">
      <c r="E515" s="1"/>
      <c r="G515" s="2"/>
    </row>
    <row r="516" ht="15.75" customHeight="1">
      <c r="E516" s="1"/>
      <c r="G516" s="2"/>
    </row>
    <row r="517" ht="15.75" customHeight="1">
      <c r="E517" s="1"/>
      <c r="G517" s="2"/>
    </row>
    <row r="518" ht="15.75" customHeight="1">
      <c r="E518" s="1"/>
      <c r="G518" s="2"/>
    </row>
    <row r="519" ht="15.75" customHeight="1">
      <c r="E519" s="1"/>
      <c r="G519" s="2"/>
    </row>
    <row r="520" ht="15.75" customHeight="1">
      <c r="E520" s="1"/>
      <c r="G520" s="2"/>
    </row>
    <row r="521" ht="15.75" customHeight="1">
      <c r="E521" s="1"/>
      <c r="G521" s="2"/>
    </row>
    <row r="522" ht="15.75" customHeight="1">
      <c r="E522" s="1"/>
      <c r="G522" s="2"/>
    </row>
    <row r="523" ht="15.75" customHeight="1">
      <c r="E523" s="1"/>
      <c r="G523" s="2"/>
    </row>
    <row r="524" ht="15.75" customHeight="1">
      <c r="E524" s="1"/>
      <c r="G524" s="2"/>
    </row>
    <row r="525" ht="15.75" customHeight="1">
      <c r="E525" s="1"/>
      <c r="G525" s="2"/>
    </row>
    <row r="526" ht="15.75" customHeight="1">
      <c r="E526" s="1"/>
      <c r="G526" s="2"/>
    </row>
    <row r="527" ht="15.75" customHeight="1">
      <c r="E527" s="1"/>
      <c r="G527" s="2"/>
    </row>
    <row r="528" ht="15.75" customHeight="1">
      <c r="E528" s="1"/>
      <c r="G528" s="2"/>
    </row>
    <row r="529" ht="15.75" customHeight="1">
      <c r="E529" s="1"/>
      <c r="G529" s="2"/>
    </row>
    <row r="530" ht="15.75" customHeight="1">
      <c r="E530" s="1"/>
      <c r="G530" s="2"/>
    </row>
    <row r="531" ht="15.75" customHeight="1">
      <c r="E531" s="1"/>
      <c r="G531" s="2"/>
    </row>
    <row r="532" ht="15.75" customHeight="1">
      <c r="E532" s="1"/>
      <c r="G532" s="2"/>
    </row>
    <row r="533" ht="15.75" customHeight="1">
      <c r="E533" s="1"/>
      <c r="G533" s="2"/>
    </row>
    <row r="534" ht="15.75" customHeight="1">
      <c r="E534" s="1"/>
      <c r="G534" s="2"/>
    </row>
    <row r="535" ht="15.75" customHeight="1">
      <c r="E535" s="1"/>
      <c r="G535" s="2"/>
    </row>
    <row r="536" ht="15.75" customHeight="1">
      <c r="E536" s="1"/>
      <c r="G536" s="2"/>
    </row>
    <row r="537" ht="15.75" customHeight="1">
      <c r="E537" s="1"/>
      <c r="G537" s="2"/>
    </row>
    <row r="538" ht="15.75" customHeight="1">
      <c r="E538" s="1"/>
      <c r="G538" s="2"/>
    </row>
    <row r="539" ht="15.75" customHeight="1">
      <c r="E539" s="1"/>
      <c r="G539" s="2"/>
    </row>
    <row r="540" ht="15.75" customHeight="1">
      <c r="E540" s="1"/>
      <c r="G540" s="2"/>
    </row>
    <row r="541" ht="15.75" customHeight="1">
      <c r="E541" s="1"/>
      <c r="G541" s="2"/>
    </row>
    <row r="542" ht="15.75" customHeight="1">
      <c r="E542" s="1"/>
      <c r="G542" s="2"/>
    </row>
    <row r="543" ht="15.75" customHeight="1">
      <c r="E543" s="1"/>
      <c r="G543" s="2"/>
    </row>
    <row r="544" ht="15.75" customHeight="1">
      <c r="E544" s="1"/>
      <c r="G544" s="2"/>
    </row>
    <row r="545" ht="15.75" customHeight="1">
      <c r="E545" s="1"/>
      <c r="G545" s="2"/>
    </row>
    <row r="546" ht="15.75" customHeight="1">
      <c r="E546" s="1"/>
      <c r="G546" s="2"/>
    </row>
    <row r="547" ht="15.75" customHeight="1">
      <c r="E547" s="1"/>
      <c r="G547" s="2"/>
    </row>
    <row r="548" ht="15.75" customHeight="1">
      <c r="E548" s="1"/>
      <c r="G548" s="2"/>
    </row>
    <row r="549" ht="15.75" customHeight="1">
      <c r="E549" s="1"/>
      <c r="G549" s="2"/>
    </row>
    <row r="550" ht="15.75" customHeight="1">
      <c r="E550" s="1"/>
      <c r="G550" s="2"/>
    </row>
    <row r="551" ht="15.75" customHeight="1">
      <c r="E551" s="1"/>
      <c r="G551" s="2"/>
    </row>
    <row r="552" ht="15.75" customHeight="1">
      <c r="E552" s="1"/>
      <c r="G552" s="2"/>
    </row>
    <row r="553" ht="15.75" customHeight="1">
      <c r="E553" s="1"/>
      <c r="G553" s="2"/>
    </row>
    <row r="554" ht="15.75" customHeight="1">
      <c r="E554" s="1"/>
      <c r="G554" s="2"/>
    </row>
    <row r="555" ht="15.75" customHeight="1">
      <c r="E555" s="1"/>
      <c r="G555" s="2"/>
    </row>
    <row r="556" ht="15.75" customHeight="1">
      <c r="E556" s="1"/>
      <c r="G556" s="2"/>
    </row>
    <row r="557" ht="15.75" customHeight="1">
      <c r="E557" s="1"/>
      <c r="G557" s="2"/>
    </row>
    <row r="558" ht="15.75" customHeight="1">
      <c r="E558" s="1"/>
      <c r="G558" s="2"/>
    </row>
    <row r="559" ht="15.75" customHeight="1">
      <c r="E559" s="1"/>
      <c r="G559" s="2"/>
    </row>
    <row r="560" ht="15.75" customHeight="1">
      <c r="E560" s="1"/>
      <c r="G560" s="2"/>
    </row>
    <row r="561" ht="15.75" customHeight="1">
      <c r="E561" s="1"/>
      <c r="G561" s="2"/>
    </row>
    <row r="562" ht="15.75" customHeight="1">
      <c r="E562" s="1"/>
      <c r="G562" s="2"/>
    </row>
    <row r="563" ht="15.75" customHeight="1">
      <c r="E563" s="1"/>
      <c r="G563" s="2"/>
    </row>
    <row r="564" ht="15.75" customHeight="1">
      <c r="E564" s="1"/>
      <c r="G564" s="2"/>
    </row>
    <row r="565" ht="15.75" customHeight="1">
      <c r="E565" s="1"/>
      <c r="G565" s="2"/>
    </row>
    <row r="566" ht="15.75" customHeight="1">
      <c r="E566" s="1"/>
      <c r="G566" s="2"/>
    </row>
    <row r="567" ht="15.75" customHeight="1">
      <c r="E567" s="1"/>
      <c r="G567" s="2"/>
    </row>
    <row r="568" ht="15.75" customHeight="1">
      <c r="E568" s="1"/>
      <c r="G568" s="2"/>
    </row>
    <row r="569" ht="15.75" customHeight="1">
      <c r="E569" s="1"/>
      <c r="G569" s="2"/>
    </row>
    <row r="570" ht="15.75" customHeight="1">
      <c r="E570" s="1"/>
      <c r="G570" s="2"/>
    </row>
    <row r="571" ht="15.75" customHeight="1">
      <c r="E571" s="1"/>
      <c r="G571" s="2"/>
    </row>
    <row r="572" ht="15.75" customHeight="1">
      <c r="E572" s="1"/>
      <c r="G572" s="2"/>
    </row>
    <row r="573" ht="15.75" customHeight="1">
      <c r="E573" s="1"/>
      <c r="G573" s="2"/>
    </row>
    <row r="574" ht="15.75" customHeight="1">
      <c r="E574" s="1"/>
      <c r="G574" s="2"/>
    </row>
    <row r="575" ht="15.75" customHeight="1">
      <c r="E575" s="1"/>
      <c r="G575" s="2"/>
    </row>
    <row r="576" ht="15.75" customHeight="1">
      <c r="E576" s="1"/>
      <c r="G576" s="2"/>
    </row>
    <row r="577" ht="15.75" customHeight="1">
      <c r="E577" s="1"/>
      <c r="G577" s="2"/>
    </row>
    <row r="578" ht="15.75" customHeight="1">
      <c r="E578" s="1"/>
      <c r="G578" s="2"/>
    </row>
    <row r="579" ht="15.75" customHeight="1">
      <c r="E579" s="1"/>
      <c r="G579" s="2"/>
    </row>
    <row r="580" ht="15.75" customHeight="1">
      <c r="E580" s="1"/>
      <c r="G580" s="2"/>
    </row>
    <row r="581" ht="15.75" customHeight="1">
      <c r="E581" s="1"/>
      <c r="G581" s="2"/>
    </row>
    <row r="582" ht="15.75" customHeight="1">
      <c r="E582" s="1"/>
      <c r="G582" s="2"/>
    </row>
    <row r="583" ht="15.75" customHeight="1">
      <c r="E583" s="1"/>
      <c r="G583" s="2"/>
    </row>
    <row r="584" ht="15.75" customHeight="1">
      <c r="E584" s="1"/>
      <c r="G584" s="2"/>
    </row>
    <row r="585" ht="15.75" customHeight="1">
      <c r="E585" s="1"/>
      <c r="G585" s="2"/>
    </row>
    <row r="586" ht="15.75" customHeight="1">
      <c r="E586" s="1"/>
      <c r="G586" s="2"/>
    </row>
    <row r="587" ht="15.75" customHeight="1">
      <c r="E587" s="1"/>
      <c r="G587" s="2"/>
    </row>
    <row r="588" ht="15.75" customHeight="1">
      <c r="E588" s="1"/>
      <c r="G588" s="2"/>
    </row>
    <row r="589" ht="15.75" customHeight="1">
      <c r="E589" s="1"/>
      <c r="G589" s="2"/>
    </row>
    <row r="590" ht="15.75" customHeight="1">
      <c r="E590" s="1"/>
      <c r="G590" s="2"/>
    </row>
    <row r="591" ht="15.75" customHeight="1">
      <c r="E591" s="1"/>
      <c r="G591" s="2"/>
    </row>
    <row r="592" ht="15.75" customHeight="1">
      <c r="E592" s="1"/>
      <c r="G592" s="2"/>
    </row>
    <row r="593" ht="15.75" customHeight="1">
      <c r="E593" s="1"/>
      <c r="G593" s="2"/>
    </row>
    <row r="594" ht="15.75" customHeight="1">
      <c r="E594" s="1"/>
      <c r="G594" s="2"/>
    </row>
    <row r="595" ht="15.75" customHeight="1">
      <c r="E595" s="1"/>
      <c r="G595" s="2"/>
    </row>
    <row r="596" ht="15.75" customHeight="1">
      <c r="E596" s="1"/>
      <c r="G596" s="2"/>
    </row>
    <row r="597" ht="15.75" customHeight="1">
      <c r="E597" s="1"/>
      <c r="G597" s="2"/>
    </row>
    <row r="598" ht="15.75" customHeight="1">
      <c r="E598" s="1"/>
      <c r="G598" s="2"/>
    </row>
    <row r="599" ht="15.75" customHeight="1">
      <c r="E599" s="1"/>
      <c r="G599" s="2"/>
    </row>
    <row r="600" ht="15.75" customHeight="1">
      <c r="E600" s="1"/>
      <c r="G600" s="2"/>
    </row>
    <row r="601" ht="15.75" customHeight="1">
      <c r="E601" s="1"/>
      <c r="G601" s="2"/>
    </row>
    <row r="602" ht="15.75" customHeight="1">
      <c r="E602" s="1"/>
      <c r="G602" s="2"/>
    </row>
    <row r="603" ht="15.75" customHeight="1">
      <c r="E603" s="1"/>
      <c r="G603" s="2"/>
    </row>
    <row r="604" ht="15.75" customHeight="1">
      <c r="E604" s="1"/>
      <c r="G604" s="2"/>
    </row>
    <row r="605" ht="15.75" customHeight="1">
      <c r="E605" s="1"/>
      <c r="G605" s="2"/>
    </row>
    <row r="606" ht="15.75" customHeight="1">
      <c r="E606" s="1"/>
      <c r="G606" s="2"/>
    </row>
    <row r="607" ht="15.75" customHeight="1">
      <c r="E607" s="1"/>
      <c r="G607" s="2"/>
    </row>
    <row r="608" ht="15.75" customHeight="1">
      <c r="E608" s="1"/>
      <c r="G608" s="2"/>
    </row>
    <row r="609" ht="15.75" customHeight="1">
      <c r="E609" s="1"/>
      <c r="G609" s="2"/>
    </row>
    <row r="610" ht="15.75" customHeight="1">
      <c r="E610" s="1"/>
      <c r="G610" s="2"/>
    </row>
    <row r="611" ht="15.75" customHeight="1">
      <c r="E611" s="1"/>
      <c r="G611" s="2"/>
    </row>
    <row r="612" ht="15.75" customHeight="1">
      <c r="E612" s="1"/>
      <c r="G612" s="2"/>
    </row>
    <row r="613" ht="15.75" customHeight="1">
      <c r="E613" s="1"/>
      <c r="G613" s="2"/>
    </row>
    <row r="614" ht="15.75" customHeight="1">
      <c r="E614" s="1"/>
      <c r="G614" s="2"/>
    </row>
    <row r="615" ht="15.75" customHeight="1">
      <c r="E615" s="1"/>
      <c r="G615" s="2"/>
    </row>
    <row r="616" ht="15.75" customHeight="1">
      <c r="E616" s="1"/>
      <c r="G616" s="2"/>
    </row>
    <row r="617" ht="15.75" customHeight="1">
      <c r="E617" s="1"/>
      <c r="G617" s="2"/>
    </row>
    <row r="618" ht="15.75" customHeight="1">
      <c r="E618" s="1"/>
      <c r="G618" s="2"/>
    </row>
    <row r="619" ht="15.75" customHeight="1">
      <c r="E619" s="1"/>
      <c r="G619" s="2"/>
    </row>
    <row r="620" ht="15.75" customHeight="1">
      <c r="E620" s="1"/>
      <c r="G620" s="2"/>
    </row>
    <row r="621" ht="15.75" customHeight="1">
      <c r="E621" s="1"/>
      <c r="G621" s="2"/>
    </row>
    <row r="622" ht="15.75" customHeight="1">
      <c r="E622" s="1"/>
      <c r="G622" s="2"/>
    </row>
    <row r="623" ht="15.75" customHeight="1">
      <c r="E623" s="1"/>
      <c r="G623" s="2"/>
    </row>
    <row r="624" ht="15.75" customHeight="1">
      <c r="E624" s="1"/>
      <c r="G624" s="2"/>
    </row>
    <row r="625" ht="15.75" customHeight="1">
      <c r="E625" s="1"/>
      <c r="G625" s="2"/>
    </row>
    <row r="626" ht="15.75" customHeight="1">
      <c r="E626" s="1"/>
      <c r="G626" s="2"/>
    </row>
    <row r="627" ht="15.75" customHeight="1">
      <c r="E627" s="1"/>
      <c r="G627" s="2"/>
    </row>
    <row r="628" ht="15.75" customHeight="1">
      <c r="E628" s="1"/>
      <c r="G628" s="2"/>
    </row>
    <row r="629" ht="15.75" customHeight="1">
      <c r="E629" s="1"/>
      <c r="G629" s="2"/>
    </row>
    <row r="630" ht="15.75" customHeight="1">
      <c r="E630" s="1"/>
      <c r="G630" s="2"/>
    </row>
    <row r="631" ht="15.75" customHeight="1">
      <c r="E631" s="1"/>
      <c r="G631" s="2"/>
    </row>
    <row r="632" ht="15.75" customHeight="1">
      <c r="E632" s="1"/>
      <c r="G632" s="2"/>
    </row>
    <row r="633" ht="15.75" customHeight="1">
      <c r="E633" s="1"/>
      <c r="G633" s="2"/>
    </row>
    <row r="634" ht="15.75" customHeight="1">
      <c r="E634" s="1"/>
      <c r="G634" s="2"/>
    </row>
    <row r="635" ht="15.75" customHeight="1">
      <c r="E635" s="1"/>
      <c r="G635" s="2"/>
    </row>
    <row r="636" ht="15.75" customHeight="1">
      <c r="E636" s="1"/>
      <c r="G636" s="2"/>
    </row>
    <row r="637" ht="15.75" customHeight="1">
      <c r="E637" s="1"/>
      <c r="G637" s="2"/>
    </row>
    <row r="638" ht="15.75" customHeight="1">
      <c r="E638" s="1"/>
      <c r="G638" s="2"/>
    </row>
    <row r="639" ht="15.75" customHeight="1">
      <c r="E639" s="1"/>
      <c r="G639" s="2"/>
    </row>
    <row r="640" ht="15.75" customHeight="1">
      <c r="E640" s="1"/>
      <c r="G640" s="2"/>
    </row>
    <row r="641" ht="15.75" customHeight="1">
      <c r="E641" s="1"/>
      <c r="G641" s="2"/>
    </row>
    <row r="642" ht="15.75" customHeight="1">
      <c r="E642" s="1"/>
      <c r="G642" s="2"/>
    </row>
    <row r="643" ht="15.75" customHeight="1">
      <c r="E643" s="1"/>
      <c r="G643" s="2"/>
    </row>
    <row r="644" ht="15.75" customHeight="1">
      <c r="E644" s="1"/>
      <c r="G644" s="2"/>
    </row>
    <row r="645" ht="15.75" customHeight="1">
      <c r="E645" s="1"/>
      <c r="G645" s="2"/>
    </row>
    <row r="646" ht="15.75" customHeight="1">
      <c r="E646" s="1"/>
      <c r="G646" s="2"/>
    </row>
    <row r="647" ht="15.75" customHeight="1">
      <c r="E647" s="1"/>
      <c r="G647" s="2"/>
    </row>
    <row r="648" ht="15.75" customHeight="1">
      <c r="E648" s="1"/>
      <c r="G648" s="2"/>
    </row>
    <row r="649" ht="15.75" customHeight="1">
      <c r="E649" s="1"/>
      <c r="G649" s="2"/>
    </row>
    <row r="650" ht="15.75" customHeight="1">
      <c r="E650" s="1"/>
      <c r="G650" s="2"/>
    </row>
    <row r="651" ht="15.75" customHeight="1">
      <c r="E651" s="1"/>
      <c r="G651" s="2"/>
    </row>
    <row r="652" ht="15.75" customHeight="1">
      <c r="E652" s="1"/>
      <c r="G652" s="2"/>
    </row>
    <row r="653" ht="15.75" customHeight="1">
      <c r="E653" s="1"/>
      <c r="G653" s="2"/>
    </row>
    <row r="654" ht="15.75" customHeight="1">
      <c r="E654" s="1"/>
      <c r="G654" s="2"/>
    </row>
    <row r="655" ht="15.75" customHeight="1">
      <c r="E655" s="1"/>
      <c r="G655" s="2"/>
    </row>
    <row r="656" ht="15.75" customHeight="1">
      <c r="E656" s="1"/>
      <c r="G656" s="2"/>
    </row>
    <row r="657" ht="15.75" customHeight="1">
      <c r="E657" s="1"/>
      <c r="G657" s="2"/>
    </row>
    <row r="658" ht="15.75" customHeight="1">
      <c r="E658" s="1"/>
      <c r="G658" s="2"/>
    </row>
    <row r="659" ht="15.75" customHeight="1">
      <c r="E659" s="1"/>
      <c r="G659" s="2"/>
    </row>
    <row r="660" ht="15.75" customHeight="1">
      <c r="E660" s="1"/>
      <c r="G660" s="2"/>
    </row>
    <row r="661" ht="15.75" customHeight="1">
      <c r="E661" s="1"/>
      <c r="G661" s="2"/>
    </row>
    <row r="662" ht="15.75" customHeight="1">
      <c r="E662" s="1"/>
      <c r="G662" s="2"/>
    </row>
    <row r="663" ht="15.75" customHeight="1">
      <c r="E663" s="1"/>
      <c r="G663" s="2"/>
    </row>
    <row r="664" ht="15.75" customHeight="1">
      <c r="E664" s="1"/>
      <c r="G664" s="2"/>
    </row>
    <row r="665" ht="15.75" customHeight="1">
      <c r="E665" s="1"/>
      <c r="G665" s="2"/>
    </row>
    <row r="666" ht="15.75" customHeight="1">
      <c r="E666" s="1"/>
      <c r="G666" s="2"/>
    </row>
    <row r="667" ht="15.75" customHeight="1">
      <c r="E667" s="1"/>
      <c r="G667" s="2"/>
    </row>
    <row r="668" ht="15.75" customHeight="1">
      <c r="E668" s="1"/>
      <c r="G668" s="2"/>
    </row>
    <row r="669" ht="15.75" customHeight="1">
      <c r="E669" s="1"/>
      <c r="G669" s="2"/>
    </row>
    <row r="670" ht="15.75" customHeight="1">
      <c r="E670" s="1"/>
      <c r="G670" s="2"/>
    </row>
    <row r="671" ht="15.75" customHeight="1">
      <c r="E671" s="1"/>
      <c r="G671" s="2"/>
    </row>
    <row r="672" ht="15.75" customHeight="1">
      <c r="E672" s="1"/>
      <c r="G672" s="2"/>
    </row>
    <row r="673" ht="15.75" customHeight="1">
      <c r="E673" s="1"/>
      <c r="G673" s="2"/>
    </row>
    <row r="674" ht="15.75" customHeight="1">
      <c r="E674" s="1"/>
      <c r="G674" s="2"/>
    </row>
    <row r="675" ht="15.75" customHeight="1">
      <c r="E675" s="1"/>
      <c r="G675" s="2"/>
    </row>
    <row r="676" ht="15.75" customHeight="1">
      <c r="E676" s="1"/>
      <c r="G676" s="2"/>
    </row>
    <row r="677" ht="15.75" customHeight="1">
      <c r="E677" s="1"/>
      <c r="G677" s="2"/>
    </row>
    <row r="678" ht="15.75" customHeight="1">
      <c r="E678" s="1"/>
      <c r="G678" s="2"/>
    </row>
    <row r="679" ht="15.75" customHeight="1">
      <c r="E679" s="1"/>
      <c r="G679" s="2"/>
    </row>
    <row r="680" ht="15.75" customHeight="1">
      <c r="E680" s="1"/>
      <c r="G680" s="2"/>
    </row>
    <row r="681" ht="15.75" customHeight="1">
      <c r="E681" s="1"/>
      <c r="G681" s="2"/>
    </row>
    <row r="682" ht="15.75" customHeight="1">
      <c r="E682" s="1"/>
      <c r="G682" s="2"/>
    </row>
    <row r="683" ht="15.75" customHeight="1">
      <c r="E683" s="1"/>
      <c r="G683" s="2"/>
    </row>
    <row r="684" ht="15.75" customHeight="1">
      <c r="E684" s="1"/>
      <c r="G684" s="2"/>
    </row>
    <row r="685" ht="15.75" customHeight="1">
      <c r="E685" s="1"/>
      <c r="G685" s="2"/>
    </row>
    <row r="686" ht="15.75" customHeight="1">
      <c r="E686" s="1"/>
      <c r="G686" s="2"/>
    </row>
    <row r="687" ht="15.75" customHeight="1">
      <c r="E687" s="1"/>
      <c r="G687" s="2"/>
    </row>
    <row r="688" ht="15.75" customHeight="1">
      <c r="E688" s="1"/>
      <c r="G688" s="2"/>
    </row>
    <row r="689" ht="15.75" customHeight="1">
      <c r="E689" s="1"/>
      <c r="G689" s="2"/>
    </row>
    <row r="690" ht="15.75" customHeight="1">
      <c r="E690" s="1"/>
      <c r="G690" s="2"/>
    </row>
    <row r="691" ht="15.75" customHeight="1">
      <c r="E691" s="1"/>
      <c r="G691" s="2"/>
    </row>
    <row r="692" ht="15.75" customHeight="1">
      <c r="E692" s="1"/>
      <c r="G692" s="2"/>
    </row>
    <row r="693" ht="15.75" customHeight="1">
      <c r="E693" s="1"/>
      <c r="G693" s="2"/>
    </row>
    <row r="694" ht="15.75" customHeight="1">
      <c r="E694" s="1"/>
      <c r="G694" s="2"/>
    </row>
    <row r="695" ht="15.75" customHeight="1">
      <c r="E695" s="1"/>
      <c r="G695" s="2"/>
    </row>
    <row r="696" ht="15.75" customHeight="1">
      <c r="E696" s="1"/>
      <c r="G696" s="2"/>
    </row>
    <row r="697" ht="15.75" customHeight="1">
      <c r="E697" s="1"/>
      <c r="G697" s="2"/>
    </row>
    <row r="698" ht="15.75" customHeight="1">
      <c r="E698" s="1"/>
      <c r="G698" s="2"/>
    </row>
    <row r="699" ht="15.75" customHeight="1">
      <c r="E699" s="1"/>
      <c r="G699" s="2"/>
    </row>
    <row r="700" ht="15.75" customHeight="1">
      <c r="E700" s="1"/>
      <c r="G700" s="2"/>
    </row>
    <row r="701" ht="15.75" customHeight="1">
      <c r="E701" s="1"/>
      <c r="G701" s="2"/>
    </row>
    <row r="702" ht="15.75" customHeight="1">
      <c r="E702" s="1"/>
      <c r="G702" s="2"/>
    </row>
    <row r="703" ht="15.75" customHeight="1">
      <c r="E703" s="1"/>
      <c r="G703" s="2"/>
    </row>
    <row r="704" ht="15.75" customHeight="1">
      <c r="E704" s="1"/>
      <c r="G704" s="2"/>
    </row>
    <row r="705" ht="15.75" customHeight="1">
      <c r="E705" s="1"/>
      <c r="G705" s="2"/>
    </row>
    <row r="706" ht="15.75" customHeight="1">
      <c r="E706" s="1"/>
      <c r="G706" s="2"/>
    </row>
    <row r="707" ht="15.75" customHeight="1">
      <c r="E707" s="1"/>
      <c r="G707" s="2"/>
    </row>
    <row r="708" ht="15.75" customHeight="1">
      <c r="E708" s="1"/>
      <c r="G708" s="2"/>
    </row>
    <row r="709" ht="15.75" customHeight="1">
      <c r="E709" s="1"/>
      <c r="G709" s="2"/>
    </row>
    <row r="710" ht="15.75" customHeight="1">
      <c r="E710" s="1"/>
      <c r="G710" s="2"/>
    </row>
    <row r="711" ht="15.75" customHeight="1">
      <c r="E711" s="1"/>
      <c r="G711" s="2"/>
    </row>
    <row r="712" ht="15.75" customHeight="1">
      <c r="E712" s="1"/>
      <c r="G712" s="2"/>
    </row>
    <row r="713" ht="15.75" customHeight="1">
      <c r="E713" s="1"/>
      <c r="G713" s="2"/>
    </row>
    <row r="714" ht="15.75" customHeight="1">
      <c r="E714" s="1"/>
      <c r="G714" s="2"/>
    </row>
    <row r="715" ht="15.75" customHeight="1">
      <c r="E715" s="1"/>
      <c r="G715" s="2"/>
    </row>
    <row r="716" ht="15.75" customHeight="1">
      <c r="E716" s="1"/>
      <c r="G716" s="2"/>
    </row>
    <row r="717" ht="15.75" customHeight="1">
      <c r="E717" s="1"/>
      <c r="G717" s="2"/>
    </row>
    <row r="718" ht="15.75" customHeight="1">
      <c r="E718" s="1"/>
      <c r="G718" s="2"/>
    </row>
    <row r="719" ht="15.75" customHeight="1">
      <c r="E719" s="1"/>
      <c r="G719" s="2"/>
    </row>
    <row r="720" ht="15.75" customHeight="1">
      <c r="E720" s="1"/>
      <c r="G720" s="2"/>
    </row>
    <row r="721" ht="15.75" customHeight="1">
      <c r="E721" s="1"/>
      <c r="G721" s="2"/>
    </row>
    <row r="722" ht="15.75" customHeight="1">
      <c r="E722" s="1"/>
      <c r="G722" s="2"/>
    </row>
    <row r="723" ht="15.75" customHeight="1">
      <c r="E723" s="1"/>
      <c r="G723" s="2"/>
    </row>
    <row r="724" ht="15.75" customHeight="1">
      <c r="E724" s="1"/>
      <c r="G724" s="2"/>
    </row>
    <row r="725" ht="15.75" customHeight="1">
      <c r="E725" s="1"/>
      <c r="G725" s="2"/>
    </row>
    <row r="726" ht="15.75" customHeight="1">
      <c r="E726" s="1"/>
      <c r="G726" s="2"/>
    </row>
    <row r="727" ht="15.75" customHeight="1">
      <c r="E727" s="1"/>
      <c r="G727" s="2"/>
    </row>
    <row r="728" ht="15.75" customHeight="1">
      <c r="E728" s="1"/>
      <c r="G728" s="2"/>
    </row>
    <row r="729" ht="15.75" customHeight="1">
      <c r="E729" s="1"/>
      <c r="G729" s="2"/>
    </row>
    <row r="730" ht="15.75" customHeight="1">
      <c r="E730" s="1"/>
      <c r="G730" s="2"/>
    </row>
    <row r="731" ht="15.75" customHeight="1">
      <c r="E731" s="1"/>
      <c r="G731" s="2"/>
    </row>
    <row r="732" ht="15.75" customHeight="1">
      <c r="E732" s="1"/>
      <c r="G732" s="2"/>
    </row>
    <row r="733" ht="15.75" customHeight="1">
      <c r="E733" s="1"/>
      <c r="G733" s="2"/>
    </row>
    <row r="734" ht="15.75" customHeight="1">
      <c r="E734" s="1"/>
      <c r="G734" s="2"/>
    </row>
    <row r="735" ht="15.75" customHeight="1">
      <c r="E735" s="1"/>
      <c r="G735" s="2"/>
    </row>
    <row r="736" ht="15.75" customHeight="1">
      <c r="E736" s="1"/>
      <c r="G736" s="2"/>
    </row>
    <row r="737" ht="15.75" customHeight="1">
      <c r="E737" s="1"/>
      <c r="G737" s="2"/>
    </row>
    <row r="738" ht="15.75" customHeight="1">
      <c r="E738" s="1"/>
      <c r="G738" s="2"/>
    </row>
    <row r="739" ht="15.75" customHeight="1">
      <c r="E739" s="1"/>
      <c r="G739" s="2"/>
    </row>
    <row r="740" ht="15.75" customHeight="1">
      <c r="E740" s="1"/>
      <c r="G740" s="2"/>
    </row>
    <row r="741" ht="15.75" customHeight="1">
      <c r="E741" s="1"/>
      <c r="G741" s="2"/>
    </row>
    <row r="742" ht="15.75" customHeight="1">
      <c r="E742" s="1"/>
      <c r="G742" s="2"/>
    </row>
    <row r="743" ht="15.75" customHeight="1">
      <c r="E743" s="1"/>
      <c r="G743" s="2"/>
    </row>
    <row r="744" ht="15.75" customHeight="1">
      <c r="E744" s="1"/>
      <c r="G744" s="2"/>
    </row>
    <row r="745" ht="15.75" customHeight="1">
      <c r="E745" s="1"/>
      <c r="G745" s="2"/>
    </row>
    <row r="746" ht="15.75" customHeight="1">
      <c r="E746" s="1"/>
      <c r="G746" s="2"/>
    </row>
    <row r="747" ht="15.75" customHeight="1">
      <c r="E747" s="1"/>
      <c r="G747" s="2"/>
    </row>
    <row r="748" ht="15.75" customHeight="1">
      <c r="E748" s="1"/>
      <c r="G748" s="2"/>
    </row>
    <row r="749" ht="15.75" customHeight="1">
      <c r="E749" s="1"/>
      <c r="G749" s="2"/>
    </row>
    <row r="750" ht="15.75" customHeight="1">
      <c r="E750" s="1"/>
      <c r="G750" s="2"/>
    </row>
    <row r="751" ht="15.75" customHeight="1">
      <c r="E751" s="1"/>
      <c r="G751" s="2"/>
    </row>
    <row r="752" ht="15.75" customHeight="1">
      <c r="E752" s="1"/>
      <c r="G752" s="2"/>
    </row>
    <row r="753" ht="15.75" customHeight="1">
      <c r="E753" s="1"/>
      <c r="G753" s="2"/>
    </row>
    <row r="754" ht="15.75" customHeight="1">
      <c r="E754" s="1"/>
      <c r="G754" s="2"/>
    </row>
    <row r="755" ht="15.75" customHeight="1">
      <c r="E755" s="1"/>
      <c r="G755" s="2"/>
    </row>
    <row r="756" ht="15.75" customHeight="1">
      <c r="E756" s="1"/>
      <c r="G756" s="2"/>
    </row>
    <row r="757" ht="15.75" customHeight="1">
      <c r="E757" s="1"/>
      <c r="G757" s="2"/>
    </row>
    <row r="758" ht="15.75" customHeight="1">
      <c r="E758" s="1"/>
      <c r="G758" s="2"/>
    </row>
    <row r="759" ht="15.75" customHeight="1">
      <c r="E759" s="1"/>
      <c r="G759" s="2"/>
    </row>
    <row r="760" ht="15.75" customHeight="1">
      <c r="E760" s="1"/>
      <c r="G760" s="2"/>
    </row>
    <row r="761" ht="15.75" customHeight="1">
      <c r="E761" s="1"/>
      <c r="G761" s="2"/>
    </row>
    <row r="762" ht="15.75" customHeight="1">
      <c r="E762" s="1"/>
      <c r="G762" s="2"/>
    </row>
    <row r="763" ht="15.75" customHeight="1">
      <c r="E763" s="1"/>
      <c r="G763" s="2"/>
    </row>
    <row r="764" ht="15.75" customHeight="1">
      <c r="E764" s="1"/>
      <c r="G764" s="2"/>
    </row>
    <row r="765" ht="15.75" customHeight="1">
      <c r="E765" s="1"/>
      <c r="G765" s="2"/>
    </row>
    <row r="766" ht="15.75" customHeight="1">
      <c r="E766" s="1"/>
      <c r="G766" s="2"/>
    </row>
    <row r="767" ht="15.75" customHeight="1">
      <c r="E767" s="1"/>
      <c r="G767" s="2"/>
    </row>
    <row r="768" ht="15.75" customHeight="1">
      <c r="E768" s="1"/>
      <c r="G768" s="2"/>
    </row>
    <row r="769" ht="15.75" customHeight="1">
      <c r="E769" s="1"/>
      <c r="G769" s="2"/>
    </row>
    <row r="770" ht="15.75" customHeight="1">
      <c r="E770" s="1"/>
      <c r="G770" s="2"/>
    </row>
    <row r="771" ht="15.75" customHeight="1">
      <c r="E771" s="1"/>
      <c r="G771" s="2"/>
    </row>
    <row r="772" ht="15.75" customHeight="1">
      <c r="E772" s="1"/>
      <c r="G772" s="2"/>
    </row>
    <row r="773" ht="15.75" customHeight="1">
      <c r="E773" s="1"/>
      <c r="G773" s="2"/>
    </row>
    <row r="774" ht="15.75" customHeight="1">
      <c r="E774" s="1"/>
      <c r="G774" s="2"/>
    </row>
    <row r="775" ht="15.75" customHeight="1">
      <c r="E775" s="1"/>
      <c r="G775" s="2"/>
    </row>
    <row r="776" ht="15.75" customHeight="1">
      <c r="E776" s="1"/>
      <c r="G776" s="2"/>
    </row>
    <row r="777" ht="15.75" customHeight="1">
      <c r="E777" s="1"/>
      <c r="G777" s="2"/>
    </row>
    <row r="778" ht="15.75" customHeight="1">
      <c r="E778" s="1"/>
      <c r="G778" s="2"/>
    </row>
    <row r="779" ht="15.75" customHeight="1">
      <c r="E779" s="1"/>
      <c r="G779" s="2"/>
    </row>
    <row r="780" ht="15.75" customHeight="1">
      <c r="E780" s="1"/>
      <c r="G780" s="2"/>
    </row>
    <row r="781" ht="15.75" customHeight="1">
      <c r="E781" s="1"/>
      <c r="G781" s="2"/>
    </row>
    <row r="782" ht="15.75" customHeight="1">
      <c r="E782" s="1"/>
      <c r="G782" s="2"/>
    </row>
    <row r="783" ht="15.75" customHeight="1">
      <c r="E783" s="1"/>
      <c r="G783" s="2"/>
    </row>
    <row r="784" ht="15.75" customHeight="1">
      <c r="E784" s="1"/>
      <c r="G784" s="2"/>
    </row>
    <row r="785" ht="15.75" customHeight="1">
      <c r="E785" s="1"/>
      <c r="G785" s="2"/>
    </row>
    <row r="786" ht="15.75" customHeight="1">
      <c r="E786" s="1"/>
      <c r="G786" s="2"/>
    </row>
    <row r="787" ht="15.75" customHeight="1">
      <c r="E787" s="1"/>
      <c r="G787" s="2"/>
    </row>
    <row r="788" ht="15.75" customHeight="1">
      <c r="E788" s="1"/>
      <c r="G788" s="2"/>
    </row>
    <row r="789" ht="15.75" customHeight="1">
      <c r="E789" s="1"/>
      <c r="G789" s="2"/>
    </row>
    <row r="790" ht="15.75" customHeight="1">
      <c r="E790" s="1"/>
      <c r="G790" s="2"/>
    </row>
    <row r="791" ht="15.75" customHeight="1">
      <c r="E791" s="1"/>
      <c r="G791" s="2"/>
    </row>
    <row r="792" ht="15.75" customHeight="1">
      <c r="E792" s="1"/>
      <c r="G792" s="2"/>
    </row>
    <row r="793" ht="15.75" customHeight="1">
      <c r="E793" s="1"/>
      <c r="G793" s="2"/>
    </row>
    <row r="794" ht="15.75" customHeight="1">
      <c r="E794" s="1"/>
      <c r="G794" s="2"/>
    </row>
    <row r="795" ht="15.75" customHeight="1">
      <c r="E795" s="1"/>
      <c r="G795" s="2"/>
    </row>
    <row r="796" ht="15.75" customHeight="1">
      <c r="E796" s="1"/>
      <c r="G796" s="2"/>
    </row>
    <row r="797" ht="15.75" customHeight="1">
      <c r="E797" s="1"/>
      <c r="G797" s="2"/>
    </row>
    <row r="798" ht="15.75" customHeight="1">
      <c r="E798" s="1"/>
      <c r="G798" s="2"/>
    </row>
    <row r="799" ht="15.75" customHeight="1">
      <c r="E799" s="1"/>
      <c r="G799" s="2"/>
    </row>
    <row r="800" ht="15.75" customHeight="1">
      <c r="E800" s="1"/>
      <c r="G800" s="2"/>
    </row>
    <row r="801" ht="15.75" customHeight="1">
      <c r="E801" s="1"/>
      <c r="G801" s="2"/>
    </row>
    <row r="802" ht="15.75" customHeight="1">
      <c r="E802" s="1"/>
      <c r="G802" s="2"/>
    </row>
    <row r="803" ht="15.75" customHeight="1">
      <c r="E803" s="1"/>
      <c r="G803" s="2"/>
    </row>
    <row r="804" ht="15.75" customHeight="1">
      <c r="E804" s="1"/>
      <c r="G804" s="2"/>
    </row>
    <row r="805" ht="15.75" customHeight="1">
      <c r="E805" s="1"/>
      <c r="G805" s="2"/>
    </row>
    <row r="806" ht="15.75" customHeight="1">
      <c r="E806" s="1"/>
      <c r="G806" s="2"/>
    </row>
    <row r="807" ht="15.75" customHeight="1">
      <c r="E807" s="1"/>
      <c r="G807" s="2"/>
    </row>
    <row r="808" ht="15.75" customHeight="1">
      <c r="E808" s="1"/>
      <c r="G808" s="2"/>
    </row>
    <row r="809" ht="15.75" customHeight="1">
      <c r="E809" s="1"/>
      <c r="G809" s="2"/>
    </row>
    <row r="810" ht="15.75" customHeight="1">
      <c r="E810" s="1"/>
      <c r="G810" s="2"/>
    </row>
    <row r="811" ht="15.75" customHeight="1">
      <c r="E811" s="1"/>
      <c r="G811" s="2"/>
    </row>
    <row r="812" ht="15.75" customHeight="1">
      <c r="E812" s="1"/>
      <c r="G812" s="2"/>
    </row>
    <row r="813" ht="15.75" customHeight="1">
      <c r="E813" s="1"/>
      <c r="G813" s="2"/>
    </row>
    <row r="814" ht="15.75" customHeight="1">
      <c r="E814" s="1"/>
      <c r="G814" s="2"/>
    </row>
    <row r="815" ht="15.75" customHeight="1">
      <c r="E815" s="1"/>
      <c r="G815" s="2"/>
    </row>
    <row r="816" ht="15.75" customHeight="1">
      <c r="E816" s="1"/>
      <c r="G816" s="2"/>
    </row>
    <row r="817" ht="15.75" customHeight="1">
      <c r="E817" s="1"/>
      <c r="G817" s="2"/>
    </row>
    <row r="818" ht="15.75" customHeight="1">
      <c r="E818" s="1"/>
      <c r="G818" s="2"/>
    </row>
    <row r="819" ht="15.75" customHeight="1">
      <c r="E819" s="1"/>
      <c r="G819" s="2"/>
    </row>
    <row r="820" ht="15.75" customHeight="1">
      <c r="E820" s="1"/>
      <c r="G820" s="2"/>
    </row>
    <row r="821" ht="15.75" customHeight="1">
      <c r="E821" s="1"/>
      <c r="G821" s="2"/>
    </row>
    <row r="822" ht="15.75" customHeight="1">
      <c r="E822" s="1"/>
      <c r="G822" s="2"/>
    </row>
    <row r="823" ht="15.75" customHeight="1">
      <c r="E823" s="1"/>
      <c r="G823" s="2"/>
    </row>
    <row r="824" ht="15.75" customHeight="1">
      <c r="E824" s="1"/>
      <c r="G824" s="2"/>
    </row>
    <row r="825" ht="15.75" customHeight="1">
      <c r="E825" s="1"/>
      <c r="G825" s="2"/>
    </row>
    <row r="826" ht="15.75" customHeight="1">
      <c r="E826" s="1"/>
      <c r="G826" s="2"/>
    </row>
    <row r="827" ht="15.75" customHeight="1">
      <c r="E827" s="1"/>
      <c r="G827" s="2"/>
    </row>
    <row r="828" ht="15.75" customHeight="1">
      <c r="E828" s="1"/>
      <c r="G828" s="2"/>
    </row>
    <row r="829" ht="15.75" customHeight="1">
      <c r="E829" s="1"/>
      <c r="G829" s="2"/>
    </row>
    <row r="830" ht="15.75" customHeight="1">
      <c r="E830" s="1"/>
      <c r="G830" s="2"/>
    </row>
    <row r="831" ht="15.75" customHeight="1">
      <c r="E831" s="1"/>
      <c r="G831" s="2"/>
    </row>
    <row r="832" ht="15.75" customHeight="1">
      <c r="E832" s="1"/>
      <c r="G832" s="2"/>
    </row>
    <row r="833" ht="15.75" customHeight="1">
      <c r="E833" s="1"/>
      <c r="G833" s="2"/>
    </row>
    <row r="834" ht="15.75" customHeight="1">
      <c r="E834" s="1"/>
      <c r="G834" s="2"/>
    </row>
    <row r="835" ht="15.75" customHeight="1">
      <c r="E835" s="1"/>
      <c r="G835" s="2"/>
    </row>
    <row r="836" ht="15.75" customHeight="1">
      <c r="E836" s="1"/>
      <c r="G836" s="2"/>
    </row>
    <row r="837" ht="15.75" customHeight="1">
      <c r="E837" s="1"/>
      <c r="G837" s="2"/>
    </row>
    <row r="838" ht="15.75" customHeight="1">
      <c r="E838" s="1"/>
      <c r="G838" s="2"/>
    </row>
    <row r="839" ht="15.75" customHeight="1">
      <c r="E839" s="1"/>
      <c r="G839" s="2"/>
    </row>
    <row r="840" ht="15.75" customHeight="1">
      <c r="E840" s="1"/>
      <c r="G840" s="2"/>
    </row>
    <row r="841" ht="15.75" customHeight="1">
      <c r="E841" s="1"/>
      <c r="G841" s="2"/>
    </row>
    <row r="842" ht="15.75" customHeight="1">
      <c r="E842" s="1"/>
      <c r="G842" s="2"/>
    </row>
    <row r="843" ht="15.75" customHeight="1">
      <c r="E843" s="1"/>
      <c r="G843" s="2"/>
    </row>
    <row r="844" ht="15.75" customHeight="1">
      <c r="E844" s="1"/>
      <c r="G844" s="2"/>
    </row>
    <row r="845" ht="15.75" customHeight="1">
      <c r="E845" s="1"/>
      <c r="G845" s="2"/>
    </row>
    <row r="846" ht="15.75" customHeight="1">
      <c r="E846" s="1"/>
      <c r="G846" s="2"/>
    </row>
    <row r="847" ht="15.75" customHeight="1">
      <c r="E847" s="1"/>
      <c r="G847" s="2"/>
    </row>
    <row r="848" ht="15.75" customHeight="1">
      <c r="E848" s="1"/>
      <c r="G848" s="2"/>
    </row>
    <row r="849" ht="15.75" customHeight="1">
      <c r="E849" s="1"/>
      <c r="G849" s="2"/>
    </row>
    <row r="850" ht="15.75" customHeight="1">
      <c r="E850" s="1"/>
      <c r="G850" s="2"/>
    </row>
    <row r="851" ht="15.75" customHeight="1">
      <c r="E851" s="1"/>
      <c r="G851" s="2"/>
    </row>
    <row r="852" ht="15.75" customHeight="1">
      <c r="E852" s="1"/>
      <c r="G852" s="2"/>
    </row>
    <row r="853" ht="15.75" customHeight="1">
      <c r="E853" s="1"/>
      <c r="G853" s="2"/>
    </row>
    <row r="854" ht="15.75" customHeight="1">
      <c r="E854" s="1"/>
      <c r="G854" s="2"/>
    </row>
    <row r="855" ht="15.75" customHeight="1">
      <c r="E855" s="1"/>
      <c r="G855" s="2"/>
    </row>
    <row r="856" ht="15.75" customHeight="1">
      <c r="E856" s="1"/>
      <c r="G856" s="2"/>
    </row>
    <row r="857" ht="15.75" customHeight="1">
      <c r="E857" s="1"/>
      <c r="G857" s="2"/>
    </row>
    <row r="858" ht="15.75" customHeight="1">
      <c r="E858" s="1"/>
      <c r="G858" s="2"/>
    </row>
    <row r="859" ht="15.75" customHeight="1">
      <c r="E859" s="1"/>
      <c r="G859" s="2"/>
    </row>
    <row r="860" ht="15.75" customHeight="1">
      <c r="E860" s="1"/>
      <c r="G860" s="2"/>
    </row>
    <row r="861" ht="15.75" customHeight="1">
      <c r="E861" s="1"/>
      <c r="G861" s="2"/>
    </row>
    <row r="862" ht="15.75" customHeight="1">
      <c r="E862" s="1"/>
      <c r="G862" s="2"/>
    </row>
    <row r="863" ht="15.75" customHeight="1">
      <c r="E863" s="1"/>
      <c r="G863" s="2"/>
    </row>
    <row r="864" ht="15.75" customHeight="1">
      <c r="E864" s="1"/>
      <c r="G864" s="2"/>
    </row>
    <row r="865" ht="15.75" customHeight="1">
      <c r="E865" s="1"/>
      <c r="G865" s="2"/>
    </row>
    <row r="866" ht="15.75" customHeight="1">
      <c r="E866" s="1"/>
      <c r="G866" s="2"/>
    </row>
    <row r="867" ht="15.75" customHeight="1">
      <c r="E867" s="1"/>
      <c r="G867" s="2"/>
    </row>
    <row r="868" ht="15.75" customHeight="1">
      <c r="E868" s="1"/>
      <c r="G868" s="2"/>
    </row>
    <row r="869" ht="15.75" customHeight="1">
      <c r="E869" s="1"/>
      <c r="G869" s="2"/>
    </row>
    <row r="870" ht="15.75" customHeight="1">
      <c r="E870" s="1"/>
      <c r="G870" s="2"/>
    </row>
    <row r="871" ht="15.75" customHeight="1">
      <c r="E871" s="1"/>
      <c r="G871" s="2"/>
    </row>
    <row r="872" ht="15.75" customHeight="1">
      <c r="E872" s="1"/>
      <c r="G872" s="2"/>
    </row>
    <row r="873" ht="15.75" customHeight="1">
      <c r="E873" s="1"/>
      <c r="G873" s="2"/>
    </row>
    <row r="874" ht="15.75" customHeight="1">
      <c r="E874" s="1"/>
      <c r="G874" s="2"/>
    </row>
    <row r="875" ht="15.75" customHeight="1">
      <c r="E875" s="1"/>
      <c r="G875" s="2"/>
    </row>
    <row r="876" ht="15.75" customHeight="1">
      <c r="E876" s="1"/>
      <c r="G876" s="2"/>
    </row>
    <row r="877" ht="15.75" customHeight="1">
      <c r="E877" s="1"/>
      <c r="G877" s="2"/>
    </row>
    <row r="878" ht="15.75" customHeight="1">
      <c r="E878" s="1"/>
      <c r="G878" s="2"/>
    </row>
    <row r="879" ht="15.75" customHeight="1">
      <c r="E879" s="1"/>
      <c r="G879" s="2"/>
    </row>
    <row r="880" ht="15.75" customHeight="1">
      <c r="E880" s="1"/>
      <c r="G880" s="2"/>
    </row>
    <row r="881" ht="15.75" customHeight="1">
      <c r="E881" s="1"/>
      <c r="G881" s="2"/>
    </row>
    <row r="882" ht="15.75" customHeight="1">
      <c r="E882" s="1"/>
      <c r="G882" s="2"/>
    </row>
    <row r="883" ht="15.75" customHeight="1">
      <c r="E883" s="1"/>
      <c r="G883" s="2"/>
    </row>
    <row r="884" ht="15.75" customHeight="1">
      <c r="E884" s="1"/>
      <c r="G884" s="2"/>
    </row>
    <row r="885" ht="15.75" customHeight="1">
      <c r="E885" s="1"/>
      <c r="G885" s="2"/>
    </row>
    <row r="886" ht="15.75" customHeight="1">
      <c r="E886" s="1"/>
      <c r="G886" s="2"/>
    </row>
    <row r="887" ht="15.75" customHeight="1">
      <c r="E887" s="1"/>
      <c r="G887" s="2"/>
    </row>
    <row r="888" ht="15.75" customHeight="1">
      <c r="E888" s="1"/>
      <c r="G888" s="2"/>
    </row>
    <row r="889" ht="15.75" customHeight="1">
      <c r="E889" s="1"/>
      <c r="G889" s="2"/>
    </row>
    <row r="890" ht="15.75" customHeight="1">
      <c r="E890" s="1"/>
      <c r="G890" s="2"/>
    </row>
    <row r="891" ht="15.75" customHeight="1">
      <c r="E891" s="1"/>
      <c r="G891" s="2"/>
    </row>
    <row r="892" ht="15.75" customHeight="1">
      <c r="E892" s="1"/>
      <c r="G892" s="2"/>
    </row>
    <row r="893" ht="15.75" customHeight="1">
      <c r="E893" s="1"/>
      <c r="G893" s="2"/>
    </row>
    <row r="894" ht="15.75" customHeight="1">
      <c r="E894" s="1"/>
      <c r="G894" s="2"/>
    </row>
    <row r="895" ht="15.75" customHeight="1">
      <c r="E895" s="1"/>
      <c r="G895" s="2"/>
    </row>
    <row r="896" ht="15.75" customHeight="1">
      <c r="E896" s="1"/>
      <c r="G896" s="2"/>
    </row>
    <row r="897" ht="15.75" customHeight="1">
      <c r="E897" s="1"/>
      <c r="G897" s="2"/>
    </row>
    <row r="898" ht="15.75" customHeight="1">
      <c r="E898" s="1"/>
      <c r="G898" s="2"/>
    </row>
    <row r="899" ht="15.75" customHeight="1">
      <c r="E899" s="1"/>
      <c r="G899" s="2"/>
    </row>
    <row r="900" ht="15.75" customHeight="1">
      <c r="E900" s="1"/>
      <c r="G900" s="2"/>
    </row>
    <row r="901" ht="15.75" customHeight="1">
      <c r="E901" s="1"/>
      <c r="G901" s="2"/>
    </row>
    <row r="902" ht="15.75" customHeight="1">
      <c r="E902" s="1"/>
      <c r="G902" s="2"/>
    </row>
    <row r="903" ht="15.75" customHeight="1">
      <c r="E903" s="1"/>
      <c r="G903" s="2"/>
    </row>
    <row r="904" ht="15.75" customHeight="1">
      <c r="E904" s="1"/>
      <c r="G904" s="2"/>
    </row>
    <row r="905" ht="15.75" customHeight="1">
      <c r="E905" s="1"/>
      <c r="G905" s="2"/>
    </row>
    <row r="906" ht="15.75" customHeight="1">
      <c r="E906" s="1"/>
      <c r="G906" s="2"/>
    </row>
    <row r="907" ht="15.75" customHeight="1">
      <c r="E907" s="1"/>
      <c r="G907" s="2"/>
    </row>
    <row r="908" ht="15.75" customHeight="1">
      <c r="E908" s="1"/>
      <c r="G908" s="2"/>
    </row>
    <row r="909" ht="15.75" customHeight="1">
      <c r="E909" s="1"/>
      <c r="G909" s="2"/>
    </row>
    <row r="910" ht="15.75" customHeight="1">
      <c r="E910" s="1"/>
      <c r="G910" s="2"/>
    </row>
    <row r="911" ht="15.75" customHeight="1">
      <c r="E911" s="1"/>
      <c r="G911" s="2"/>
    </row>
    <row r="912" ht="15.75" customHeight="1">
      <c r="E912" s="1"/>
      <c r="G912" s="2"/>
    </row>
    <row r="913" ht="15.75" customHeight="1">
      <c r="E913" s="1"/>
      <c r="G913" s="2"/>
    </row>
    <row r="914" ht="15.75" customHeight="1">
      <c r="E914" s="1"/>
      <c r="G914" s="2"/>
    </row>
    <row r="915" ht="15.75" customHeight="1">
      <c r="E915" s="1"/>
      <c r="G915" s="2"/>
    </row>
    <row r="916" ht="15.75" customHeight="1">
      <c r="E916" s="1"/>
      <c r="G916" s="2"/>
    </row>
    <row r="917" ht="15.75" customHeight="1">
      <c r="E917" s="1"/>
      <c r="G917" s="2"/>
    </row>
    <row r="918" ht="15.75" customHeight="1">
      <c r="E918" s="1"/>
      <c r="G918" s="2"/>
    </row>
    <row r="919" ht="15.75" customHeight="1">
      <c r="E919" s="1"/>
      <c r="G919" s="2"/>
    </row>
    <row r="920" ht="15.75" customHeight="1">
      <c r="E920" s="1"/>
      <c r="G920" s="2"/>
    </row>
    <row r="921" ht="15.75" customHeight="1">
      <c r="E921" s="1"/>
      <c r="G921" s="2"/>
    </row>
    <row r="922" ht="15.75" customHeight="1">
      <c r="E922" s="1"/>
      <c r="G922" s="2"/>
    </row>
    <row r="923" ht="15.75" customHeight="1">
      <c r="E923" s="1"/>
      <c r="G923" s="2"/>
    </row>
    <row r="924" ht="15.75" customHeight="1">
      <c r="E924" s="1"/>
      <c r="G924" s="2"/>
    </row>
    <row r="925" ht="15.75" customHeight="1">
      <c r="E925" s="1"/>
      <c r="G925" s="2"/>
    </row>
    <row r="926" ht="15.75" customHeight="1">
      <c r="E926" s="1"/>
      <c r="G926" s="2"/>
    </row>
    <row r="927" ht="15.75" customHeight="1">
      <c r="E927" s="1"/>
      <c r="G927" s="2"/>
    </row>
    <row r="928" ht="15.75" customHeight="1">
      <c r="E928" s="1"/>
      <c r="G928" s="2"/>
    </row>
    <row r="929" ht="15.75" customHeight="1">
      <c r="E929" s="1"/>
      <c r="G929" s="2"/>
    </row>
    <row r="930" ht="15.75" customHeight="1">
      <c r="E930" s="1"/>
      <c r="G930" s="2"/>
    </row>
    <row r="931" ht="15.75" customHeight="1">
      <c r="E931" s="1"/>
      <c r="G931" s="2"/>
    </row>
    <row r="932" ht="15.75" customHeight="1">
      <c r="E932" s="1"/>
      <c r="G932" s="2"/>
    </row>
    <row r="933" ht="15.75" customHeight="1">
      <c r="E933" s="1"/>
      <c r="G933" s="2"/>
    </row>
    <row r="934" ht="15.75" customHeight="1">
      <c r="E934" s="1"/>
      <c r="G934" s="2"/>
    </row>
    <row r="935" ht="15.75" customHeight="1">
      <c r="E935" s="1"/>
      <c r="G935" s="2"/>
    </row>
    <row r="936" ht="15.75" customHeight="1">
      <c r="E936" s="1"/>
      <c r="G936" s="2"/>
    </row>
    <row r="937" ht="15.75" customHeight="1">
      <c r="E937" s="1"/>
      <c r="G937" s="2"/>
    </row>
    <row r="938" ht="15.75" customHeight="1">
      <c r="E938" s="1"/>
      <c r="G938" s="2"/>
    </row>
    <row r="939" ht="15.75" customHeight="1">
      <c r="E939" s="1"/>
      <c r="G939" s="2"/>
    </row>
    <row r="940" ht="15.75" customHeight="1">
      <c r="E940" s="1"/>
      <c r="G940" s="2"/>
    </row>
    <row r="941" ht="15.75" customHeight="1">
      <c r="E941" s="1"/>
      <c r="G941" s="2"/>
    </row>
    <row r="942" ht="15.75" customHeight="1">
      <c r="E942" s="1"/>
      <c r="G942" s="2"/>
    </row>
    <row r="943" ht="15.75" customHeight="1">
      <c r="E943" s="1"/>
      <c r="G943" s="2"/>
    </row>
    <row r="944" ht="15.75" customHeight="1">
      <c r="E944" s="1"/>
      <c r="G944" s="2"/>
    </row>
    <row r="945" ht="15.75" customHeight="1">
      <c r="E945" s="1"/>
      <c r="G945" s="2"/>
    </row>
    <row r="946" ht="15.75" customHeight="1">
      <c r="E946" s="1"/>
      <c r="G946" s="2"/>
    </row>
    <row r="947" ht="15.75" customHeight="1">
      <c r="E947" s="1"/>
      <c r="G947" s="2"/>
    </row>
    <row r="948" ht="15.75" customHeight="1">
      <c r="E948" s="1"/>
      <c r="G948" s="2"/>
    </row>
    <row r="949" ht="15.75" customHeight="1">
      <c r="E949" s="1"/>
      <c r="G949" s="2"/>
    </row>
    <row r="950" ht="15.75" customHeight="1">
      <c r="E950" s="1"/>
      <c r="G950" s="2"/>
    </row>
    <row r="951" ht="15.75" customHeight="1">
      <c r="E951" s="1"/>
      <c r="G951" s="2"/>
    </row>
    <row r="952" ht="15.75" customHeight="1">
      <c r="E952" s="1"/>
      <c r="G952" s="2"/>
    </row>
    <row r="953" ht="15.75" customHeight="1">
      <c r="E953" s="1"/>
      <c r="G953" s="2"/>
    </row>
    <row r="954" ht="15.75" customHeight="1">
      <c r="E954" s="1"/>
      <c r="G954" s="2"/>
    </row>
    <row r="955" ht="15.75" customHeight="1">
      <c r="E955" s="1"/>
      <c r="G955" s="2"/>
    </row>
    <row r="956" ht="15.75" customHeight="1">
      <c r="E956" s="1"/>
      <c r="G956" s="2"/>
    </row>
    <row r="957" ht="15.75" customHeight="1">
      <c r="E957" s="1"/>
      <c r="G957" s="2"/>
    </row>
    <row r="958" ht="15.75" customHeight="1">
      <c r="E958" s="1"/>
      <c r="G958" s="2"/>
    </row>
    <row r="959" ht="15.75" customHeight="1">
      <c r="E959" s="1"/>
      <c r="G959" s="2"/>
    </row>
    <row r="960" ht="15.75" customHeight="1">
      <c r="E960" s="1"/>
      <c r="G960" s="2"/>
    </row>
    <row r="961" ht="15.75" customHeight="1">
      <c r="E961" s="1"/>
      <c r="G961" s="2"/>
    </row>
    <row r="962" ht="15.75" customHeight="1">
      <c r="E962" s="1"/>
      <c r="G962" s="2"/>
    </row>
    <row r="963" ht="15.75" customHeight="1">
      <c r="E963" s="1"/>
      <c r="G963" s="2"/>
    </row>
    <row r="964" ht="15.75" customHeight="1">
      <c r="E964" s="1"/>
      <c r="G964" s="2"/>
    </row>
    <row r="965" ht="15.75" customHeight="1">
      <c r="E965" s="1"/>
      <c r="G965" s="2"/>
    </row>
    <row r="966" ht="15.75" customHeight="1">
      <c r="E966" s="1"/>
      <c r="G966" s="2"/>
    </row>
    <row r="967" ht="15.75" customHeight="1">
      <c r="E967" s="1"/>
      <c r="G967" s="2"/>
    </row>
    <row r="968" ht="15.75" customHeight="1">
      <c r="E968" s="1"/>
      <c r="G968" s="2"/>
    </row>
    <row r="969" ht="15.75" customHeight="1">
      <c r="E969" s="1"/>
      <c r="G969" s="2"/>
    </row>
    <row r="970" ht="15.75" customHeight="1">
      <c r="E970" s="1"/>
      <c r="G970" s="2"/>
    </row>
    <row r="971" ht="15.75" customHeight="1">
      <c r="E971" s="1"/>
      <c r="G971" s="2"/>
    </row>
    <row r="972" ht="15.75" customHeight="1">
      <c r="E972" s="1"/>
      <c r="G972" s="2"/>
    </row>
    <row r="973" ht="15.75" customHeight="1">
      <c r="E973" s="1"/>
      <c r="G973" s="2"/>
    </row>
    <row r="974" ht="15.75" customHeight="1">
      <c r="E974" s="1"/>
      <c r="G974" s="2"/>
    </row>
    <row r="975" ht="15.75" customHeight="1">
      <c r="E975" s="1"/>
      <c r="G975" s="2"/>
    </row>
    <row r="976" ht="15.75" customHeight="1">
      <c r="E976" s="1"/>
      <c r="G976" s="2"/>
    </row>
    <row r="977" ht="15.75" customHeight="1">
      <c r="E977" s="1"/>
      <c r="G977" s="2"/>
    </row>
    <row r="978" ht="15.75" customHeight="1">
      <c r="E978" s="1"/>
      <c r="G978" s="2"/>
    </row>
    <row r="979" ht="15.75" customHeight="1">
      <c r="E979" s="1"/>
      <c r="G979" s="2"/>
    </row>
    <row r="980" ht="15.75" customHeight="1">
      <c r="E980" s="1"/>
      <c r="G980" s="2"/>
    </row>
    <row r="981" ht="15.75" customHeight="1">
      <c r="E981" s="1"/>
      <c r="G981" s="2"/>
    </row>
    <row r="982" ht="15.75" customHeight="1">
      <c r="E982" s="1"/>
      <c r="G982" s="2"/>
    </row>
    <row r="983" ht="15.75" customHeight="1">
      <c r="E983" s="1"/>
      <c r="G983" s="2"/>
    </row>
    <row r="984" ht="15.75" customHeight="1">
      <c r="E984" s="1"/>
      <c r="G984" s="2"/>
    </row>
    <row r="985" ht="15.75" customHeight="1">
      <c r="E985" s="1"/>
      <c r="G985" s="2"/>
    </row>
    <row r="986" ht="15.75" customHeight="1">
      <c r="E986" s="1"/>
      <c r="G986" s="2"/>
    </row>
    <row r="987" ht="15.75" customHeight="1">
      <c r="E987" s="1"/>
      <c r="G987" s="2"/>
    </row>
    <row r="988" ht="15.75" customHeight="1">
      <c r="E988" s="1"/>
      <c r="G988" s="2"/>
    </row>
    <row r="989" ht="15.75" customHeight="1">
      <c r="E989" s="1"/>
      <c r="G989" s="2"/>
    </row>
    <row r="990" ht="15.75" customHeight="1">
      <c r="E990" s="1"/>
      <c r="G990" s="2"/>
    </row>
    <row r="991" ht="15.75" customHeight="1">
      <c r="E991" s="1"/>
      <c r="G991" s="2"/>
    </row>
    <row r="992" ht="15.75" customHeight="1">
      <c r="E992" s="1"/>
      <c r="G992" s="2"/>
    </row>
    <row r="993" ht="15.75" customHeight="1">
      <c r="E993" s="1"/>
      <c r="G993" s="2"/>
    </row>
    <row r="994" ht="15.75" customHeight="1">
      <c r="E994" s="1"/>
      <c r="G994" s="2"/>
    </row>
    <row r="995" ht="15.75" customHeight="1">
      <c r="E995" s="1"/>
      <c r="G995" s="2"/>
    </row>
    <row r="996" ht="15.75" customHeight="1">
      <c r="E996" s="1"/>
      <c r="G996" s="2"/>
    </row>
    <row r="997" ht="15.75" customHeight="1">
      <c r="E997" s="1"/>
      <c r="G997" s="2"/>
    </row>
    <row r="998" ht="15.75" customHeight="1">
      <c r="E998" s="1"/>
      <c r="G998" s="2"/>
    </row>
    <row r="999" ht="15.75" customHeight="1">
      <c r="E999" s="1"/>
      <c r="G999" s="2"/>
    </row>
    <row r="1000" ht="15.75" customHeight="1">
      <c r="E1000" s="1"/>
      <c r="G1000" s="2"/>
    </row>
  </sheetData>
  <autoFilter ref="$A$4:$L$4"/>
  <conditionalFormatting sqref="I1:I1000">
    <cfRule type="containsText" dxfId="0" priority="1" operator="containsText" text="ordered">
      <formula>NOT(ISERROR(SEARCH(("ordered"),(I1))))</formula>
    </cfRule>
  </conditionalFormatting>
  <conditionalFormatting sqref="I1:I1000">
    <cfRule type="containsText" dxfId="1" priority="2" operator="containsText" text="arrived">
      <formula>NOT(ISERROR(SEARCH(("arrived"),(I1))))</formula>
    </cfRule>
  </conditionalFormatting>
  <conditionalFormatting sqref="I1:I1000">
    <cfRule type="containsText" dxfId="2" priority="3" operator="containsText" text="not ordered">
      <formula>NOT(ISERROR(SEARCH(("not ordered"),(I1))))</formula>
    </cfRule>
  </conditionalFormatting>
  <conditionalFormatting sqref="J1:J1000">
    <cfRule type="cellIs" dxfId="0" priority="4" operator="between">
      <formula>1</formula>
      <formula>100</formula>
    </cfRule>
  </conditionalFormatting>
  <conditionalFormatting sqref="J1:J1000">
    <cfRule type="containsText" dxfId="0" priority="5" operator="containsText" text="some">
      <formula>NOT(ISERROR(SEARCH(("some"),(J1))))</formula>
    </cfRule>
  </conditionalFormatting>
  <conditionalFormatting sqref="J1:J1000">
    <cfRule type="containsText" dxfId="2" priority="6" operator="containsText" text="no">
      <formula>NOT(ISERROR(SEARCH(("no"),(J1))))</formula>
    </cfRule>
  </conditionalFormatting>
  <conditionalFormatting sqref="J1:J1000">
    <cfRule type="containsText" dxfId="1" priority="7" operator="containsText" text="yes">
      <formula>NOT(ISERROR(SEARCH(("yes"),(J1))))</formula>
    </cfRule>
  </conditionalFormatting>
  <conditionalFormatting sqref="K1:K1000">
    <cfRule type="containsText" dxfId="1" priority="8" operator="containsText" text="short">
      <formula>NOT(ISERROR(SEARCH(("short"),(K1))))</formula>
    </cfRule>
  </conditionalFormatting>
  <conditionalFormatting sqref="K1:K1000">
    <cfRule type="containsText" dxfId="0" priority="9" operator="containsText" text="medium">
      <formula>NOT(ISERROR(SEARCH(("medium"),(K1))))</formula>
    </cfRule>
  </conditionalFormatting>
  <conditionalFormatting sqref="K1:K1000">
    <cfRule type="containsText" dxfId="2" priority="10" operator="containsText" text="long">
      <formula>NOT(ISERROR(SEARCH(("long"),(K1))))</formula>
    </cfRule>
  </conditionalFormatting>
  <conditionalFormatting sqref="L1:L1000">
    <cfRule type="containsText" dxfId="1" priority="11" operator="containsText" text="no">
      <formula>NOT(ISERROR(SEARCH(("no"),(L1))))</formula>
    </cfRule>
  </conditionalFormatting>
  <conditionalFormatting sqref="L1:L1000">
    <cfRule type="containsText" dxfId="2" priority="12" operator="containsText" text="yes">
      <formula>NOT(ISERROR(SEARCH(("yes"),(L1))))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8.0"/>
    <col customWidth="1" min="3" max="4" width="8.71"/>
    <col customWidth="1" min="5" max="5" width="12.0"/>
    <col customWidth="1" min="6" max="6" width="11.57"/>
    <col customWidth="1" min="7" max="7" width="15.14"/>
    <col customWidth="1" min="8" max="8" width="35.29"/>
    <col customWidth="1" min="9" max="26" width="8.71"/>
  </cols>
  <sheetData>
    <row r="1">
      <c r="A1" s="8" t="s">
        <v>254</v>
      </c>
      <c r="B1" s="8" t="s">
        <v>255</v>
      </c>
      <c r="C1" s="8" t="s">
        <v>256</v>
      </c>
      <c r="D1" s="8" t="s">
        <v>257</v>
      </c>
      <c r="E1" s="8" t="s">
        <v>258</v>
      </c>
      <c r="F1" s="8" t="s">
        <v>259</v>
      </c>
      <c r="G1" s="8" t="s">
        <v>260</v>
      </c>
      <c r="H1" s="8" t="s">
        <v>261</v>
      </c>
      <c r="J1" s="8" t="s">
        <v>262</v>
      </c>
    </row>
    <row r="2">
      <c r="A2" s="10" t="s">
        <v>263</v>
      </c>
      <c r="B2" s="10" t="s">
        <v>19</v>
      </c>
      <c r="C2" s="10" t="s">
        <v>264</v>
      </c>
      <c r="D2" s="10" t="s">
        <v>265</v>
      </c>
      <c r="E2" s="2" t="s">
        <v>266</v>
      </c>
      <c r="F2" s="2" t="s">
        <v>267</v>
      </c>
      <c r="G2" s="2" t="s">
        <v>268</v>
      </c>
      <c r="H2" s="2" t="s">
        <v>269</v>
      </c>
      <c r="J2" s="12" t="s">
        <v>270</v>
      </c>
    </row>
    <row r="3">
      <c r="A3" s="10" t="s">
        <v>271</v>
      </c>
      <c r="B3" s="10" t="s">
        <v>19</v>
      </c>
      <c r="C3" s="10" t="s">
        <v>264</v>
      </c>
      <c r="D3" s="10" t="s">
        <v>265</v>
      </c>
      <c r="E3" s="2" t="s">
        <v>266</v>
      </c>
      <c r="F3" s="2" t="s">
        <v>267</v>
      </c>
      <c r="G3" s="2" t="s">
        <v>268</v>
      </c>
      <c r="H3" s="2" t="s">
        <v>272</v>
      </c>
      <c r="J3" s="10" t="s">
        <v>273</v>
      </c>
    </row>
    <row r="4">
      <c r="A4" s="10" t="s">
        <v>274</v>
      </c>
      <c r="B4" s="10" t="s">
        <v>29</v>
      </c>
      <c r="C4" s="10" t="s">
        <v>264</v>
      </c>
      <c r="D4" s="10" t="s">
        <v>265</v>
      </c>
      <c r="E4" s="2" t="s">
        <v>266</v>
      </c>
      <c r="F4" s="2" t="s">
        <v>267</v>
      </c>
      <c r="G4" s="2" t="s">
        <v>275</v>
      </c>
      <c r="H4" s="2" t="s">
        <v>276</v>
      </c>
      <c r="J4" s="10" t="s">
        <v>277</v>
      </c>
    </row>
    <row r="5">
      <c r="A5" s="13" t="s">
        <v>278</v>
      </c>
      <c r="B5" s="13" t="s">
        <v>279</v>
      </c>
      <c r="C5" s="13" t="s">
        <v>280</v>
      </c>
      <c r="D5" s="13" t="s">
        <v>281</v>
      </c>
      <c r="E5" s="13" t="s">
        <v>282</v>
      </c>
      <c r="F5" s="13"/>
      <c r="G5" s="13"/>
      <c r="H5" s="13" t="s">
        <v>283</v>
      </c>
      <c r="J5" s="10" t="s">
        <v>284</v>
      </c>
    </row>
    <row r="6">
      <c r="A6" s="13" t="s">
        <v>285</v>
      </c>
      <c r="B6" s="13" t="s">
        <v>286</v>
      </c>
      <c r="C6" s="13" t="s">
        <v>280</v>
      </c>
      <c r="D6" s="13" t="s">
        <v>287</v>
      </c>
      <c r="E6" s="13" t="s">
        <v>288</v>
      </c>
      <c r="F6" s="13"/>
      <c r="G6" s="13"/>
      <c r="H6" s="13" t="s">
        <v>289</v>
      </c>
      <c r="J6" s="10" t="s">
        <v>290</v>
      </c>
    </row>
    <row r="7">
      <c r="A7" s="10" t="s">
        <v>291</v>
      </c>
      <c r="B7" s="10" t="s">
        <v>292</v>
      </c>
      <c r="C7" s="10" t="s">
        <v>280</v>
      </c>
      <c r="D7" s="10" t="s">
        <v>293</v>
      </c>
      <c r="E7" s="10" t="s">
        <v>282</v>
      </c>
      <c r="F7" s="2" t="s">
        <v>294</v>
      </c>
      <c r="G7" s="10" t="s">
        <v>295</v>
      </c>
      <c r="H7" s="10" t="s">
        <v>296</v>
      </c>
    </row>
    <row r="8">
      <c r="A8" s="14" t="s">
        <v>109</v>
      </c>
      <c r="B8" s="14" t="s">
        <v>108</v>
      </c>
      <c r="C8" s="14" t="s">
        <v>280</v>
      </c>
      <c r="D8" s="14" t="s">
        <v>293</v>
      </c>
      <c r="E8" s="14" t="s">
        <v>297</v>
      </c>
      <c r="F8" s="14" t="s">
        <v>298</v>
      </c>
      <c r="G8" s="14" t="s">
        <v>275</v>
      </c>
      <c r="H8" s="14" t="s">
        <v>299</v>
      </c>
      <c r="J8" s="10" t="s">
        <v>300</v>
      </c>
    </row>
    <row r="9">
      <c r="A9" s="15" t="s">
        <v>301</v>
      </c>
      <c r="B9" s="15" t="s">
        <v>302</v>
      </c>
      <c r="C9" s="15" t="s">
        <v>280</v>
      </c>
      <c r="D9" s="15" t="s">
        <v>293</v>
      </c>
      <c r="E9" s="15" t="s">
        <v>303</v>
      </c>
      <c r="F9" s="15" t="s">
        <v>267</v>
      </c>
      <c r="G9" s="15" t="s">
        <v>304</v>
      </c>
      <c r="H9" s="15" t="s">
        <v>305</v>
      </c>
    </row>
    <row r="10">
      <c r="A10" s="10" t="s">
        <v>306</v>
      </c>
      <c r="B10" s="10" t="s">
        <v>307</v>
      </c>
      <c r="C10" s="10" t="s">
        <v>308</v>
      </c>
      <c r="D10" s="10" t="s">
        <v>293</v>
      </c>
      <c r="E10" s="10" t="s">
        <v>280</v>
      </c>
      <c r="F10" s="2" t="s">
        <v>309</v>
      </c>
      <c r="G10" s="2" t="s">
        <v>310</v>
      </c>
      <c r="H10" s="2" t="s">
        <v>311</v>
      </c>
      <c r="J10" s="10" t="s">
        <v>312</v>
      </c>
    </row>
    <row r="11">
      <c r="A11" s="14" t="s">
        <v>313</v>
      </c>
      <c r="B11" s="14" t="s">
        <v>75</v>
      </c>
      <c r="C11" s="14" t="s">
        <v>264</v>
      </c>
      <c r="D11" s="14" t="s">
        <v>293</v>
      </c>
      <c r="E11" s="14" t="s">
        <v>314</v>
      </c>
      <c r="F11" s="14" t="s">
        <v>267</v>
      </c>
      <c r="G11" s="14" t="s">
        <v>315</v>
      </c>
      <c r="H11" s="14" t="s">
        <v>316</v>
      </c>
      <c r="J11" s="10" t="s">
        <v>317</v>
      </c>
    </row>
    <row r="12">
      <c r="A12" s="10" t="s">
        <v>318</v>
      </c>
      <c r="B12" s="10" t="s">
        <v>101</v>
      </c>
      <c r="C12" s="10" t="s">
        <v>319</v>
      </c>
      <c r="D12" s="10" t="s">
        <v>293</v>
      </c>
      <c r="E12" s="2" t="s">
        <v>320</v>
      </c>
      <c r="F12" s="10" t="s">
        <v>294</v>
      </c>
      <c r="H12" s="10" t="s">
        <v>321</v>
      </c>
      <c r="J12" s="10" t="s">
        <v>322</v>
      </c>
    </row>
    <row r="16">
      <c r="A16" s="15" t="s">
        <v>323</v>
      </c>
    </row>
    <row r="17">
      <c r="C17" s="16" t="s">
        <v>324</v>
      </c>
      <c r="H17" s="10" t="s">
        <v>325</v>
      </c>
    </row>
    <row r="18">
      <c r="A18" s="13" t="s">
        <v>326</v>
      </c>
      <c r="C18" s="17" t="s">
        <v>327</v>
      </c>
    </row>
    <row r="19">
      <c r="C19" s="17" t="s">
        <v>328</v>
      </c>
    </row>
    <row r="20">
      <c r="A20" s="14" t="s">
        <v>329</v>
      </c>
      <c r="C20" s="17" t="s">
        <v>330</v>
      </c>
    </row>
    <row r="21" ht="15.75" customHeight="1">
      <c r="C21" s="17" t="s">
        <v>331</v>
      </c>
    </row>
    <row r="22" ht="15.75" customHeight="1">
      <c r="C22" s="18" t="s">
        <v>332</v>
      </c>
    </row>
    <row r="23" ht="15.75" customHeight="1">
      <c r="C23" s="16" t="s">
        <v>333</v>
      </c>
    </row>
    <row r="24" ht="15.75" customHeight="1">
      <c r="C24" s="17" t="s">
        <v>334</v>
      </c>
    </row>
    <row r="25" ht="15.75" customHeight="1">
      <c r="C25" s="17" t="s">
        <v>335</v>
      </c>
    </row>
    <row r="26" ht="15.75" customHeight="1">
      <c r="C26" s="17" t="s">
        <v>336</v>
      </c>
    </row>
    <row r="27" ht="15.75" customHeight="1">
      <c r="C27" s="17" t="s">
        <v>337</v>
      </c>
    </row>
    <row r="28" ht="15.75" customHeight="1">
      <c r="C28" s="17" t="s">
        <v>338</v>
      </c>
    </row>
    <row r="29" ht="15.75" customHeight="1">
      <c r="C29" s="17" t="s">
        <v>339</v>
      </c>
    </row>
    <row r="30" ht="15.75" customHeight="1">
      <c r="C30" s="18" t="s">
        <v>340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0.57"/>
    <col customWidth="1" min="3" max="3" width="14.71"/>
    <col customWidth="1" min="4" max="4" width="11.14"/>
    <col customWidth="1" min="5" max="5" width="11.71"/>
    <col customWidth="1" min="6" max="6" width="11.57"/>
    <col customWidth="1" min="7" max="7" width="25.86"/>
    <col customWidth="1" min="8" max="8" width="23.43"/>
    <col customWidth="1" min="9" max="9" width="17.29"/>
    <col customWidth="1" min="10" max="10" width="13.57"/>
    <col customWidth="1" min="11" max="11" width="20.0"/>
    <col customWidth="1" min="12" max="12" width="42.14"/>
    <col customWidth="1" min="13" max="13" width="9.14"/>
    <col customWidth="1" min="14" max="26" width="8.71"/>
  </cols>
  <sheetData>
    <row r="1">
      <c r="D1" s="19"/>
      <c r="E1" s="20"/>
      <c r="F1" s="19"/>
      <c r="G1" s="11"/>
      <c r="I1" s="10" t="s">
        <v>341</v>
      </c>
      <c r="J1" s="10" t="s">
        <v>342</v>
      </c>
      <c r="M1" s="21"/>
    </row>
    <row r="2">
      <c r="D2" s="19"/>
      <c r="E2" s="20"/>
      <c r="F2" s="19"/>
      <c r="G2" s="11"/>
      <c r="H2" s="20" t="s">
        <v>343</v>
      </c>
      <c r="I2" s="1">
        <f>SUM(F6:F26)</f>
        <v>14673.08</v>
      </c>
      <c r="J2" s="1">
        <f>SUM(F:F)</f>
        <v>19212.28</v>
      </c>
      <c r="K2" s="1"/>
      <c r="M2" s="21"/>
    </row>
    <row r="3">
      <c r="D3" s="19"/>
      <c r="E3" s="20"/>
      <c r="F3" s="19"/>
      <c r="G3" s="11"/>
      <c r="H3" s="22" t="s">
        <v>344</v>
      </c>
      <c r="I3" s="23">
        <f>SUM(M:M)</f>
        <v>18393.01</v>
      </c>
      <c r="M3" s="21"/>
    </row>
    <row r="4">
      <c r="D4" s="24"/>
      <c r="E4" s="25"/>
      <c r="F4" s="19"/>
      <c r="G4" s="11"/>
      <c r="M4" s="21"/>
    </row>
    <row r="5">
      <c r="A5" s="8" t="s">
        <v>5</v>
      </c>
      <c r="B5" s="8" t="s">
        <v>6</v>
      </c>
      <c r="C5" s="8" t="s">
        <v>7</v>
      </c>
      <c r="D5" s="26" t="s">
        <v>9</v>
      </c>
      <c r="E5" s="27" t="s">
        <v>10</v>
      </c>
      <c r="F5" s="26" t="s">
        <v>345</v>
      </c>
      <c r="G5" s="28" t="s">
        <v>346</v>
      </c>
      <c r="H5" s="8" t="s">
        <v>347</v>
      </c>
      <c r="I5" s="8" t="s">
        <v>13</v>
      </c>
      <c r="J5" s="8" t="s">
        <v>14</v>
      </c>
      <c r="K5" s="8" t="s">
        <v>12</v>
      </c>
      <c r="L5" s="8" t="s">
        <v>348</v>
      </c>
      <c r="M5" s="21"/>
    </row>
    <row r="6">
      <c r="A6" s="10" t="s">
        <v>349</v>
      </c>
      <c r="B6" s="11" t="s">
        <v>350</v>
      </c>
      <c r="C6" s="10" t="s">
        <v>351</v>
      </c>
      <c r="D6" s="19">
        <v>8500.0</v>
      </c>
      <c r="E6" s="20">
        <v>1.0</v>
      </c>
      <c r="F6" s="19">
        <f t="shared" ref="F6:F10" si="1">D6*E6</f>
        <v>8500</v>
      </c>
      <c r="G6" s="11" t="s">
        <v>352</v>
      </c>
      <c r="H6" s="11" t="s">
        <v>353</v>
      </c>
      <c r="I6" s="10" t="s">
        <v>24</v>
      </c>
      <c r="K6" s="10" t="s">
        <v>23</v>
      </c>
      <c r="L6" s="12" t="s">
        <v>354</v>
      </c>
      <c r="M6" s="29">
        <f t="shared" ref="M6:M49" si="2">IF(K6&lt;&gt;"not ordered",F6,0)</f>
        <v>8500</v>
      </c>
    </row>
    <row r="7">
      <c r="A7" s="10" t="s">
        <v>355</v>
      </c>
      <c r="B7" s="11" t="s">
        <v>356</v>
      </c>
      <c r="C7" s="11" t="s">
        <v>357</v>
      </c>
      <c r="D7" s="19">
        <v>3600.0</v>
      </c>
      <c r="E7" s="20">
        <v>1.0</v>
      </c>
      <c r="F7" s="19">
        <f t="shared" si="1"/>
        <v>3600</v>
      </c>
      <c r="G7" s="11" t="s">
        <v>358</v>
      </c>
      <c r="H7" s="10" t="s">
        <v>359</v>
      </c>
      <c r="I7" s="10" t="s">
        <v>24</v>
      </c>
      <c r="J7" s="10" t="s">
        <v>360</v>
      </c>
      <c r="K7" s="10" t="s">
        <v>23</v>
      </c>
      <c r="L7" s="12" t="s">
        <v>361</v>
      </c>
      <c r="M7" s="29">
        <f t="shared" si="2"/>
        <v>3600</v>
      </c>
    </row>
    <row r="8">
      <c r="A8" s="10" t="s">
        <v>362</v>
      </c>
      <c r="B8" s="11" t="s">
        <v>356</v>
      </c>
      <c r="C8" s="10" t="s">
        <v>363</v>
      </c>
      <c r="D8" s="19">
        <v>1441.0</v>
      </c>
      <c r="E8" s="20">
        <v>1.0</v>
      </c>
      <c r="F8" s="19">
        <f t="shared" si="1"/>
        <v>1441</v>
      </c>
      <c r="G8" s="11"/>
      <c r="H8" s="11" t="s">
        <v>364</v>
      </c>
      <c r="I8" s="10" t="s">
        <v>24</v>
      </c>
      <c r="K8" s="10" t="s">
        <v>23</v>
      </c>
      <c r="L8" s="12" t="s">
        <v>361</v>
      </c>
      <c r="M8" s="29">
        <f t="shared" si="2"/>
        <v>1441</v>
      </c>
    </row>
    <row r="9">
      <c r="A9" s="10" t="s">
        <v>365</v>
      </c>
      <c r="B9" s="10" t="s">
        <v>366</v>
      </c>
      <c r="C9" s="10" t="s">
        <v>367</v>
      </c>
      <c r="D9" s="19">
        <v>199.8</v>
      </c>
      <c r="E9" s="20">
        <v>1.0</v>
      </c>
      <c r="F9" s="19">
        <f t="shared" si="1"/>
        <v>199.8</v>
      </c>
      <c r="G9" s="11" t="s">
        <v>368</v>
      </c>
      <c r="H9" s="11" t="s">
        <v>369</v>
      </c>
      <c r="I9" s="10" t="s">
        <v>24</v>
      </c>
      <c r="K9" s="10" t="s">
        <v>23</v>
      </c>
      <c r="L9" s="12" t="s">
        <v>370</v>
      </c>
      <c r="M9" s="29">
        <f t="shared" si="2"/>
        <v>199.8</v>
      </c>
    </row>
    <row r="10">
      <c r="A10" s="10" t="s">
        <v>371</v>
      </c>
      <c r="B10" s="10" t="s">
        <v>372</v>
      </c>
      <c r="C10" s="10" t="s">
        <v>373</v>
      </c>
      <c r="D10" s="19">
        <v>212.5</v>
      </c>
      <c r="E10" s="20">
        <v>1.0</v>
      </c>
      <c r="F10" s="19">
        <f t="shared" si="1"/>
        <v>212.5</v>
      </c>
      <c r="G10" s="11" t="s">
        <v>374</v>
      </c>
      <c r="H10" s="11" t="s">
        <v>375</v>
      </c>
      <c r="I10" s="10" t="s">
        <v>24</v>
      </c>
      <c r="J10" s="10" t="s">
        <v>376</v>
      </c>
      <c r="K10" s="10" t="s">
        <v>23</v>
      </c>
      <c r="L10" s="12" t="s">
        <v>377</v>
      </c>
      <c r="M10" s="29">
        <f t="shared" si="2"/>
        <v>212.5</v>
      </c>
    </row>
    <row r="11">
      <c r="A11" s="30" t="s">
        <v>378</v>
      </c>
      <c r="D11" s="19"/>
      <c r="E11" s="20"/>
      <c r="F11" s="19"/>
      <c r="G11" s="11"/>
      <c r="H11" s="11"/>
      <c r="L11" s="12"/>
      <c r="M11" s="29" t="str">
        <f t="shared" si="2"/>
        <v/>
      </c>
    </row>
    <row r="12">
      <c r="A12" s="10" t="s">
        <v>379</v>
      </c>
      <c r="B12" s="10" t="s">
        <v>372</v>
      </c>
      <c r="C12" s="10" t="s">
        <v>380</v>
      </c>
      <c r="D12" s="19">
        <v>38.74</v>
      </c>
      <c r="E12" s="20">
        <v>1.0</v>
      </c>
      <c r="F12" s="19">
        <f t="shared" ref="F12:F50" si="3">D12*E12</f>
        <v>38.74</v>
      </c>
      <c r="G12" s="11" t="s">
        <v>381</v>
      </c>
      <c r="H12" s="11" t="s">
        <v>382</v>
      </c>
      <c r="I12" s="10" t="s">
        <v>24</v>
      </c>
      <c r="J12" s="10" t="s">
        <v>376</v>
      </c>
      <c r="K12" s="10" t="s">
        <v>23</v>
      </c>
      <c r="L12" s="12" t="s">
        <v>377</v>
      </c>
      <c r="M12" s="29">
        <f t="shared" si="2"/>
        <v>38.74</v>
      </c>
    </row>
    <row r="13">
      <c r="A13" s="10" t="s">
        <v>379</v>
      </c>
      <c r="B13" s="10" t="s">
        <v>372</v>
      </c>
      <c r="C13" s="10" t="s">
        <v>383</v>
      </c>
      <c r="D13" s="19">
        <v>39.72</v>
      </c>
      <c r="E13" s="20">
        <v>1.0</v>
      </c>
      <c r="F13" s="19">
        <f t="shared" si="3"/>
        <v>39.72</v>
      </c>
      <c r="G13" s="11" t="s">
        <v>384</v>
      </c>
      <c r="H13" s="11" t="s">
        <v>382</v>
      </c>
      <c r="I13" s="10" t="s">
        <v>24</v>
      </c>
      <c r="J13" s="10" t="s">
        <v>376</v>
      </c>
      <c r="K13" s="10" t="s">
        <v>23</v>
      </c>
      <c r="L13" s="12" t="s">
        <v>377</v>
      </c>
      <c r="M13" s="29">
        <f t="shared" si="2"/>
        <v>39.72</v>
      </c>
    </row>
    <row r="14">
      <c r="A14" s="10" t="s">
        <v>379</v>
      </c>
      <c r="B14" s="10" t="s">
        <v>372</v>
      </c>
      <c r="C14" s="10" t="s">
        <v>385</v>
      </c>
      <c r="D14" s="19">
        <v>47.85</v>
      </c>
      <c r="E14" s="20">
        <v>1.0</v>
      </c>
      <c r="F14" s="19">
        <f t="shared" si="3"/>
        <v>47.85</v>
      </c>
      <c r="G14" s="11" t="s">
        <v>386</v>
      </c>
      <c r="H14" s="11" t="s">
        <v>387</v>
      </c>
      <c r="I14" s="10" t="s">
        <v>25</v>
      </c>
      <c r="J14" s="10" t="s">
        <v>376</v>
      </c>
      <c r="K14" s="10" t="s">
        <v>23</v>
      </c>
      <c r="L14" s="12" t="s">
        <v>377</v>
      </c>
      <c r="M14" s="29">
        <f t="shared" si="2"/>
        <v>47.85</v>
      </c>
    </row>
    <row r="15">
      <c r="A15" s="10" t="s">
        <v>388</v>
      </c>
      <c r="B15" s="10" t="s">
        <v>372</v>
      </c>
      <c r="C15" s="10" t="s">
        <v>389</v>
      </c>
      <c r="D15" s="19">
        <v>11.29</v>
      </c>
      <c r="E15" s="20">
        <v>1.0</v>
      </c>
      <c r="F15" s="19">
        <f t="shared" si="3"/>
        <v>11.29</v>
      </c>
      <c r="G15" s="11" t="s">
        <v>390</v>
      </c>
      <c r="H15" s="11" t="s">
        <v>391</v>
      </c>
      <c r="I15" s="10" t="s">
        <v>24</v>
      </c>
      <c r="J15" s="10" t="s">
        <v>376</v>
      </c>
      <c r="K15" s="10" t="s">
        <v>23</v>
      </c>
      <c r="L15" s="12" t="s">
        <v>377</v>
      </c>
      <c r="M15" s="29">
        <f t="shared" si="2"/>
        <v>11.29</v>
      </c>
    </row>
    <row r="16">
      <c r="A16" s="10" t="s">
        <v>392</v>
      </c>
      <c r="B16" s="10" t="s">
        <v>372</v>
      </c>
      <c r="C16" s="10" t="s">
        <v>393</v>
      </c>
      <c r="D16" s="19">
        <v>35.6</v>
      </c>
      <c r="E16" s="20">
        <v>1.0</v>
      </c>
      <c r="F16" s="19">
        <f t="shared" si="3"/>
        <v>35.6</v>
      </c>
      <c r="G16" s="11" t="s">
        <v>394</v>
      </c>
      <c r="H16" s="11" t="s">
        <v>395</v>
      </c>
      <c r="I16" s="10" t="s">
        <v>24</v>
      </c>
      <c r="J16" s="10" t="s">
        <v>376</v>
      </c>
      <c r="K16" s="10" t="s">
        <v>23</v>
      </c>
      <c r="L16" s="12" t="s">
        <v>377</v>
      </c>
      <c r="M16" s="29">
        <f t="shared" si="2"/>
        <v>35.6</v>
      </c>
    </row>
    <row r="17">
      <c r="A17" s="30" t="s">
        <v>396</v>
      </c>
      <c r="B17" s="10" t="s">
        <v>372</v>
      </c>
      <c r="D17" s="19">
        <v>59.61</v>
      </c>
      <c r="E17" s="20">
        <v>1.0</v>
      </c>
      <c r="F17" s="19">
        <f t="shared" si="3"/>
        <v>59.61</v>
      </c>
      <c r="G17" s="11"/>
      <c r="H17" s="11"/>
      <c r="L17" s="12"/>
      <c r="M17" s="29">
        <f t="shared" si="2"/>
        <v>59.61</v>
      </c>
    </row>
    <row r="18">
      <c r="A18" s="10" t="s">
        <v>397</v>
      </c>
      <c r="B18" s="10" t="s">
        <v>39</v>
      </c>
      <c r="C18" s="10" t="s">
        <v>398</v>
      </c>
      <c r="D18" s="19">
        <v>17.42</v>
      </c>
      <c r="E18" s="20">
        <v>2.0</v>
      </c>
      <c r="F18" s="19">
        <f t="shared" si="3"/>
        <v>34.84</v>
      </c>
      <c r="G18" s="11" t="s">
        <v>399</v>
      </c>
      <c r="H18" s="11" t="s">
        <v>400</v>
      </c>
      <c r="I18" s="10" t="s">
        <v>24</v>
      </c>
      <c r="K18" s="10" t="s">
        <v>23</v>
      </c>
      <c r="L18" s="12" t="s">
        <v>401</v>
      </c>
      <c r="M18" s="29">
        <f t="shared" si="2"/>
        <v>34.84</v>
      </c>
    </row>
    <row r="19">
      <c r="A19" s="10" t="s">
        <v>397</v>
      </c>
      <c r="B19" s="10" t="s">
        <v>39</v>
      </c>
      <c r="C19" s="10" t="s">
        <v>402</v>
      </c>
      <c r="D19" s="19">
        <v>18.69</v>
      </c>
      <c r="E19" s="20">
        <v>1.0</v>
      </c>
      <c r="F19" s="19">
        <f t="shared" si="3"/>
        <v>18.69</v>
      </c>
      <c r="G19" s="11" t="s">
        <v>403</v>
      </c>
      <c r="H19" s="11" t="s">
        <v>404</v>
      </c>
      <c r="I19" s="10" t="s">
        <v>24</v>
      </c>
      <c r="K19" s="10" t="s">
        <v>23</v>
      </c>
      <c r="L19" s="12" t="s">
        <v>405</v>
      </c>
      <c r="M19" s="29">
        <f t="shared" si="2"/>
        <v>18.69</v>
      </c>
    </row>
    <row r="20">
      <c r="A20" s="10" t="s">
        <v>397</v>
      </c>
      <c r="B20" s="10" t="s">
        <v>39</v>
      </c>
      <c r="C20" s="10" t="s">
        <v>406</v>
      </c>
      <c r="D20" s="19">
        <v>11.36</v>
      </c>
      <c r="E20" s="20">
        <v>3.0</v>
      </c>
      <c r="F20" s="19">
        <f t="shared" si="3"/>
        <v>34.08</v>
      </c>
      <c r="G20" s="11" t="s">
        <v>407</v>
      </c>
      <c r="H20" s="11" t="s">
        <v>408</v>
      </c>
      <c r="I20" s="10" t="s">
        <v>24</v>
      </c>
      <c r="K20" s="10" t="s">
        <v>23</v>
      </c>
      <c r="L20" s="12" t="s">
        <v>409</v>
      </c>
      <c r="M20" s="29">
        <f t="shared" si="2"/>
        <v>34.08</v>
      </c>
    </row>
    <row r="21" ht="15.75" customHeight="1">
      <c r="A21" s="10" t="s">
        <v>410</v>
      </c>
      <c r="B21" s="10" t="s">
        <v>39</v>
      </c>
      <c r="C21" s="10" t="s">
        <v>411</v>
      </c>
      <c r="D21" s="19">
        <v>3.96</v>
      </c>
      <c r="E21" s="20">
        <v>10.0</v>
      </c>
      <c r="F21" s="19">
        <f t="shared" si="3"/>
        <v>39.6</v>
      </c>
      <c r="G21" s="11" t="s">
        <v>412</v>
      </c>
      <c r="H21" s="11" t="s">
        <v>400</v>
      </c>
      <c r="I21" s="10" t="s">
        <v>24</v>
      </c>
      <c r="K21" s="10" t="s">
        <v>23</v>
      </c>
      <c r="L21" s="12" t="s">
        <v>413</v>
      </c>
      <c r="M21" s="29">
        <f t="shared" si="2"/>
        <v>39.6</v>
      </c>
    </row>
    <row r="22" ht="15.75" customHeight="1">
      <c r="A22" s="10" t="s">
        <v>410</v>
      </c>
      <c r="B22" s="10" t="s">
        <v>39</v>
      </c>
      <c r="C22" s="10" t="s">
        <v>414</v>
      </c>
      <c r="D22" s="19">
        <v>4.84</v>
      </c>
      <c r="E22" s="20">
        <v>5.0</v>
      </c>
      <c r="F22" s="19">
        <f t="shared" si="3"/>
        <v>24.2</v>
      </c>
      <c r="G22" s="11" t="s">
        <v>415</v>
      </c>
      <c r="H22" s="11" t="s">
        <v>404</v>
      </c>
      <c r="I22" s="10" t="s">
        <v>24</v>
      </c>
      <c r="K22" s="10" t="s">
        <v>23</v>
      </c>
      <c r="L22" s="12" t="s">
        <v>416</v>
      </c>
      <c r="M22" s="29">
        <f t="shared" si="2"/>
        <v>24.2</v>
      </c>
    </row>
    <row r="23" ht="15.75" customHeight="1">
      <c r="A23" s="10" t="s">
        <v>410</v>
      </c>
      <c r="B23" s="10" t="s">
        <v>39</v>
      </c>
      <c r="C23" s="10" t="s">
        <v>417</v>
      </c>
      <c r="D23" s="19">
        <v>7.64</v>
      </c>
      <c r="E23" s="20">
        <v>2.0</v>
      </c>
      <c r="F23" s="19">
        <f t="shared" si="3"/>
        <v>15.28</v>
      </c>
      <c r="G23" s="11" t="s">
        <v>418</v>
      </c>
      <c r="H23" s="11" t="s">
        <v>404</v>
      </c>
      <c r="I23" s="10" t="s">
        <v>24</v>
      </c>
      <c r="K23" s="10" t="s">
        <v>23</v>
      </c>
      <c r="L23" s="12" t="s">
        <v>419</v>
      </c>
      <c r="M23" s="29">
        <f t="shared" si="2"/>
        <v>15.28</v>
      </c>
    </row>
    <row r="24" ht="15.75" customHeight="1">
      <c r="A24" s="10" t="s">
        <v>420</v>
      </c>
      <c r="B24" s="10" t="s">
        <v>421</v>
      </c>
      <c r="C24" s="10" t="s">
        <v>422</v>
      </c>
      <c r="D24" s="19">
        <v>100.0</v>
      </c>
      <c r="E24" s="20">
        <v>1.0</v>
      </c>
      <c r="F24" s="19">
        <f t="shared" si="3"/>
        <v>100</v>
      </c>
      <c r="G24" s="11" t="s">
        <v>423</v>
      </c>
      <c r="H24" s="11" t="s">
        <v>424</v>
      </c>
      <c r="I24" s="10" t="s">
        <v>24</v>
      </c>
      <c r="J24" s="10" t="s">
        <v>425</v>
      </c>
      <c r="K24" s="10" t="s">
        <v>23</v>
      </c>
      <c r="L24" s="12" t="s">
        <v>426</v>
      </c>
      <c r="M24" s="29">
        <f t="shared" si="2"/>
        <v>100</v>
      </c>
    </row>
    <row r="25" ht="15.75" customHeight="1">
      <c r="A25" s="10" t="s">
        <v>427</v>
      </c>
      <c r="B25" s="10" t="s">
        <v>428</v>
      </c>
      <c r="C25" s="10" t="s">
        <v>429</v>
      </c>
      <c r="D25" s="19">
        <v>177.29</v>
      </c>
      <c r="E25" s="20">
        <v>1.0</v>
      </c>
      <c r="F25" s="19">
        <f t="shared" si="3"/>
        <v>177.29</v>
      </c>
      <c r="G25" s="11" t="s">
        <v>430</v>
      </c>
      <c r="H25" s="11" t="s">
        <v>431</v>
      </c>
      <c r="I25" s="10" t="s">
        <v>24</v>
      </c>
      <c r="J25" s="10" t="s">
        <v>432</v>
      </c>
      <c r="K25" s="10" t="s">
        <v>23</v>
      </c>
      <c r="L25" s="12" t="s">
        <v>433</v>
      </c>
      <c r="M25" s="29">
        <f t="shared" si="2"/>
        <v>177.29</v>
      </c>
    </row>
    <row r="26" ht="15.75" customHeight="1">
      <c r="A26" s="10" t="s">
        <v>434</v>
      </c>
      <c r="B26" s="10" t="s">
        <v>435</v>
      </c>
      <c r="C26" s="10" t="s">
        <v>436</v>
      </c>
      <c r="D26" s="19">
        <v>42.99</v>
      </c>
      <c r="E26" s="20">
        <v>1.0</v>
      </c>
      <c r="F26" s="19">
        <f t="shared" si="3"/>
        <v>42.99</v>
      </c>
      <c r="G26" s="11" t="s">
        <v>437</v>
      </c>
      <c r="H26" s="11" t="s">
        <v>438</v>
      </c>
      <c r="I26" s="10" t="s">
        <v>24</v>
      </c>
      <c r="J26" s="10" t="s">
        <v>425</v>
      </c>
      <c r="K26" s="10" t="s">
        <v>23</v>
      </c>
      <c r="L26" s="12" t="s">
        <v>439</v>
      </c>
      <c r="M26" s="29">
        <f t="shared" si="2"/>
        <v>42.99</v>
      </c>
    </row>
    <row r="27" ht="15.75" customHeight="1">
      <c r="A27" s="10" t="s">
        <v>397</v>
      </c>
      <c r="B27" s="10" t="s">
        <v>39</v>
      </c>
      <c r="C27" s="10" t="s">
        <v>201</v>
      </c>
      <c r="D27" s="19">
        <v>21.32</v>
      </c>
      <c r="E27" s="20">
        <v>5.0</v>
      </c>
      <c r="F27" s="19">
        <f t="shared" si="3"/>
        <v>106.6</v>
      </c>
      <c r="G27" s="11" t="s">
        <v>440</v>
      </c>
      <c r="H27" s="11" t="s">
        <v>441</v>
      </c>
      <c r="I27" s="10" t="s">
        <v>25</v>
      </c>
      <c r="K27" s="10" t="s">
        <v>23</v>
      </c>
      <c r="L27" s="12" t="s">
        <v>442</v>
      </c>
      <c r="M27" s="29">
        <f t="shared" si="2"/>
        <v>106.6</v>
      </c>
    </row>
    <row r="28" ht="15.75" customHeight="1">
      <c r="A28" s="10" t="s">
        <v>397</v>
      </c>
      <c r="B28" s="10" t="s">
        <v>39</v>
      </c>
      <c r="C28" s="10" t="s">
        <v>443</v>
      </c>
      <c r="D28" s="19">
        <v>16.18</v>
      </c>
      <c r="E28" s="20">
        <v>2.0</v>
      </c>
      <c r="F28" s="19">
        <f t="shared" si="3"/>
        <v>32.36</v>
      </c>
      <c r="G28" s="11" t="s">
        <v>444</v>
      </c>
      <c r="H28" s="11" t="s">
        <v>445</v>
      </c>
      <c r="I28" s="10" t="s">
        <v>446</v>
      </c>
      <c r="K28" s="10" t="s">
        <v>23</v>
      </c>
      <c r="L28" s="12" t="s">
        <v>442</v>
      </c>
      <c r="M28" s="29">
        <f t="shared" si="2"/>
        <v>32.36</v>
      </c>
    </row>
    <row r="29" ht="15.75" customHeight="1">
      <c r="A29" s="10" t="s">
        <v>447</v>
      </c>
      <c r="B29" s="10" t="s">
        <v>39</v>
      </c>
      <c r="C29" s="10" t="s">
        <v>448</v>
      </c>
      <c r="D29" s="19">
        <v>2.53</v>
      </c>
      <c r="E29" s="20">
        <v>10.0</v>
      </c>
      <c r="F29" s="19">
        <f t="shared" si="3"/>
        <v>25.3</v>
      </c>
      <c r="G29" s="11" t="s">
        <v>412</v>
      </c>
      <c r="H29" s="11" t="s">
        <v>441</v>
      </c>
      <c r="I29" s="10" t="s">
        <v>25</v>
      </c>
      <c r="K29" s="10" t="s">
        <v>23</v>
      </c>
      <c r="L29" s="12" t="s">
        <v>449</v>
      </c>
      <c r="M29" s="29">
        <f t="shared" si="2"/>
        <v>25.3</v>
      </c>
    </row>
    <row r="30" ht="15.75" customHeight="1">
      <c r="A30" s="10" t="s">
        <v>447</v>
      </c>
      <c r="B30" s="10" t="s">
        <v>39</v>
      </c>
      <c r="C30" s="10" t="s">
        <v>450</v>
      </c>
      <c r="D30" s="19">
        <v>3.08</v>
      </c>
      <c r="E30" s="20">
        <v>10.0</v>
      </c>
      <c r="F30" s="19">
        <f t="shared" si="3"/>
        <v>30.8</v>
      </c>
      <c r="G30" s="11" t="s">
        <v>415</v>
      </c>
      <c r="H30" s="11" t="s">
        <v>400</v>
      </c>
      <c r="I30" s="10" t="s">
        <v>446</v>
      </c>
      <c r="K30" s="10" t="s">
        <v>23</v>
      </c>
      <c r="L30" s="12" t="s">
        <v>451</v>
      </c>
      <c r="M30" s="29">
        <f t="shared" si="2"/>
        <v>30.8</v>
      </c>
    </row>
    <row r="31" ht="15.75" customHeight="1">
      <c r="A31" s="10" t="s">
        <v>452</v>
      </c>
      <c r="B31" s="10" t="s">
        <v>39</v>
      </c>
      <c r="C31" s="10" t="s">
        <v>453</v>
      </c>
      <c r="D31" s="19">
        <v>24.15</v>
      </c>
      <c r="E31" s="20">
        <v>2.0</v>
      </c>
      <c r="F31" s="19">
        <f t="shared" si="3"/>
        <v>48.3</v>
      </c>
      <c r="G31" s="11" t="s">
        <v>454</v>
      </c>
      <c r="H31" s="11" t="s">
        <v>400</v>
      </c>
      <c r="I31" s="10" t="s">
        <v>446</v>
      </c>
      <c r="K31" s="10" t="s">
        <v>455</v>
      </c>
      <c r="L31" s="12" t="s">
        <v>456</v>
      </c>
      <c r="M31" s="21">
        <f t="shared" si="2"/>
        <v>0</v>
      </c>
    </row>
    <row r="32" ht="15.75" customHeight="1">
      <c r="A32" s="10" t="s">
        <v>457</v>
      </c>
      <c r="B32" s="10" t="s">
        <v>39</v>
      </c>
      <c r="C32" s="10" t="s">
        <v>458</v>
      </c>
      <c r="D32" s="19">
        <v>415.7</v>
      </c>
      <c r="E32" s="20">
        <v>2.0</v>
      </c>
      <c r="F32" s="19">
        <f t="shared" si="3"/>
        <v>831.4</v>
      </c>
      <c r="G32" s="11" t="s">
        <v>459</v>
      </c>
      <c r="H32" s="11" t="s">
        <v>460</v>
      </c>
      <c r="I32" s="10" t="s">
        <v>446</v>
      </c>
      <c r="K32" s="10" t="s">
        <v>23</v>
      </c>
      <c r="L32" s="12" t="s">
        <v>461</v>
      </c>
      <c r="M32" s="29">
        <f t="shared" si="2"/>
        <v>831.4</v>
      </c>
    </row>
    <row r="33" ht="15.75" customHeight="1">
      <c r="A33" s="10" t="s">
        <v>388</v>
      </c>
      <c r="B33" s="10" t="s">
        <v>372</v>
      </c>
      <c r="C33" s="10" t="s">
        <v>389</v>
      </c>
      <c r="D33" s="19">
        <v>11.29</v>
      </c>
      <c r="E33" s="20">
        <v>2.0</v>
      </c>
      <c r="F33" s="19">
        <f t="shared" si="3"/>
        <v>22.58</v>
      </c>
      <c r="G33" s="11" t="s">
        <v>390</v>
      </c>
      <c r="H33" s="11" t="s">
        <v>441</v>
      </c>
      <c r="I33" s="10" t="s">
        <v>25</v>
      </c>
      <c r="J33" s="10" t="s">
        <v>376</v>
      </c>
      <c r="K33" s="10" t="s">
        <v>23</v>
      </c>
      <c r="L33" s="12" t="s">
        <v>377</v>
      </c>
      <c r="M33" s="29">
        <f t="shared" si="2"/>
        <v>22.58</v>
      </c>
    </row>
    <row r="34" ht="28.5" customHeight="1">
      <c r="A34" s="10" t="s">
        <v>462</v>
      </c>
      <c r="B34" s="10" t="s">
        <v>372</v>
      </c>
      <c r="C34" s="10" t="s">
        <v>463</v>
      </c>
      <c r="D34" s="19">
        <v>44.67</v>
      </c>
      <c r="E34" s="20">
        <v>1.0</v>
      </c>
      <c r="F34" s="19">
        <f t="shared" si="3"/>
        <v>44.67</v>
      </c>
      <c r="G34" s="11" t="s">
        <v>464</v>
      </c>
      <c r="H34" s="11" t="s">
        <v>465</v>
      </c>
      <c r="I34" s="10" t="s">
        <v>446</v>
      </c>
      <c r="J34" s="10" t="s">
        <v>376</v>
      </c>
      <c r="K34" s="10" t="s">
        <v>23</v>
      </c>
      <c r="M34" s="29">
        <f t="shared" si="2"/>
        <v>44.67</v>
      </c>
    </row>
    <row r="35" ht="13.5" customHeight="1">
      <c r="A35" s="10" t="s">
        <v>466</v>
      </c>
      <c r="B35" s="10" t="s">
        <v>164</v>
      </c>
      <c r="C35" s="10" t="s">
        <v>467</v>
      </c>
      <c r="D35" s="19">
        <v>156.0</v>
      </c>
      <c r="E35" s="20">
        <v>1.0</v>
      </c>
      <c r="F35" s="19">
        <f t="shared" si="3"/>
        <v>156</v>
      </c>
      <c r="G35" s="11" t="s">
        <v>468</v>
      </c>
      <c r="H35" s="11" t="s">
        <v>469</v>
      </c>
      <c r="I35" s="10" t="s">
        <v>446</v>
      </c>
      <c r="K35" s="10" t="s">
        <v>23</v>
      </c>
      <c r="L35" s="12" t="s">
        <v>470</v>
      </c>
      <c r="M35" s="29">
        <f t="shared" si="2"/>
        <v>156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0" t="s">
        <v>471</v>
      </c>
      <c r="B36" s="10" t="s">
        <v>164</v>
      </c>
      <c r="C36" s="10" t="s">
        <v>472</v>
      </c>
      <c r="D36" s="19">
        <v>89.0</v>
      </c>
      <c r="E36" s="20">
        <v>1.0</v>
      </c>
      <c r="F36" s="19">
        <f t="shared" si="3"/>
        <v>89</v>
      </c>
      <c r="G36" s="11" t="s">
        <v>473</v>
      </c>
      <c r="H36" s="11" t="s">
        <v>469</v>
      </c>
      <c r="I36" s="10" t="s">
        <v>446</v>
      </c>
      <c r="J36" s="20"/>
      <c r="K36" s="10" t="s">
        <v>23</v>
      </c>
      <c r="L36" s="31" t="s">
        <v>474</v>
      </c>
      <c r="M36" s="29">
        <f t="shared" si="2"/>
        <v>89</v>
      </c>
    </row>
    <row r="37" ht="15.75" customHeight="1">
      <c r="A37" s="30" t="s">
        <v>378</v>
      </c>
      <c r="B37" s="32" t="s">
        <v>475</v>
      </c>
      <c r="C37" s="25"/>
      <c r="D37" s="19">
        <v>350.0</v>
      </c>
      <c r="E37" s="20">
        <v>1.0</v>
      </c>
      <c r="F37" s="19">
        <f t="shared" si="3"/>
        <v>350</v>
      </c>
      <c r="G37" s="25"/>
      <c r="H37" s="25"/>
      <c r="M37" s="29">
        <f t="shared" si="2"/>
        <v>350</v>
      </c>
    </row>
    <row r="38" ht="15.75" customHeight="1">
      <c r="A38" s="10" t="s">
        <v>476</v>
      </c>
      <c r="B38" s="10" t="s">
        <v>477</v>
      </c>
      <c r="C38" s="11" t="s">
        <v>478</v>
      </c>
      <c r="D38" s="19">
        <v>83.54</v>
      </c>
      <c r="E38" s="20">
        <v>1.0</v>
      </c>
      <c r="F38" s="19">
        <f t="shared" si="3"/>
        <v>83.54</v>
      </c>
      <c r="G38" s="11" t="s">
        <v>479</v>
      </c>
      <c r="H38" s="11" t="s">
        <v>480</v>
      </c>
      <c r="I38" s="10" t="s">
        <v>446</v>
      </c>
      <c r="K38" s="10" t="s">
        <v>23</v>
      </c>
      <c r="L38" s="12" t="s">
        <v>481</v>
      </c>
      <c r="M38" s="29">
        <f t="shared" si="2"/>
        <v>83.54</v>
      </c>
    </row>
    <row r="39" ht="15.75" customHeight="1">
      <c r="A39" s="10" t="s">
        <v>482</v>
      </c>
      <c r="B39" s="10" t="s">
        <v>483</v>
      </c>
      <c r="D39" s="19">
        <v>16.88</v>
      </c>
      <c r="E39" s="20">
        <v>1.0</v>
      </c>
      <c r="F39" s="19">
        <f t="shared" si="3"/>
        <v>16.88</v>
      </c>
      <c r="G39" s="11" t="s">
        <v>484</v>
      </c>
      <c r="H39" s="11" t="s">
        <v>485</v>
      </c>
      <c r="I39" s="10" t="s">
        <v>446</v>
      </c>
      <c r="K39" s="10" t="s">
        <v>23</v>
      </c>
      <c r="L39" s="12" t="s">
        <v>486</v>
      </c>
      <c r="M39" s="29">
        <f t="shared" si="2"/>
        <v>16.88</v>
      </c>
    </row>
    <row r="40" ht="15.75" customHeight="1">
      <c r="A40" s="10" t="s">
        <v>487</v>
      </c>
      <c r="B40" s="10" t="s">
        <v>122</v>
      </c>
      <c r="C40" s="10" t="s">
        <v>488</v>
      </c>
      <c r="D40" s="19">
        <v>6.4</v>
      </c>
      <c r="E40" s="20">
        <v>1.0</v>
      </c>
      <c r="F40" s="19">
        <f t="shared" si="3"/>
        <v>6.4</v>
      </c>
      <c r="G40" s="11"/>
      <c r="H40" s="11" t="s">
        <v>441</v>
      </c>
      <c r="I40" s="10" t="s">
        <v>25</v>
      </c>
      <c r="J40" s="10" t="s">
        <v>425</v>
      </c>
      <c r="K40" s="10" t="s">
        <v>23</v>
      </c>
      <c r="L40" s="12" t="s">
        <v>426</v>
      </c>
      <c r="M40" s="29">
        <f t="shared" si="2"/>
        <v>6.4</v>
      </c>
    </row>
    <row r="41" ht="15.75" customHeight="1">
      <c r="A41" s="10" t="s">
        <v>78</v>
      </c>
      <c r="B41" s="10" t="s">
        <v>489</v>
      </c>
      <c r="C41" s="10" t="s">
        <v>490</v>
      </c>
      <c r="D41" s="19">
        <v>54.0</v>
      </c>
      <c r="E41" s="20">
        <v>1.0</v>
      </c>
      <c r="F41" s="19">
        <f t="shared" si="3"/>
        <v>54</v>
      </c>
      <c r="G41" s="11" t="s">
        <v>491</v>
      </c>
      <c r="H41" s="11" t="s">
        <v>492</v>
      </c>
      <c r="I41" s="10" t="s">
        <v>446</v>
      </c>
      <c r="J41" s="10" t="s">
        <v>425</v>
      </c>
      <c r="K41" s="10" t="s">
        <v>23</v>
      </c>
      <c r="L41" s="12" t="s">
        <v>493</v>
      </c>
      <c r="M41" s="29">
        <f t="shared" si="2"/>
        <v>54</v>
      </c>
    </row>
    <row r="42" ht="15.75" customHeight="1">
      <c r="A42" s="10" t="s">
        <v>494</v>
      </c>
      <c r="B42" s="10" t="s">
        <v>495</v>
      </c>
      <c r="C42" s="10" t="s">
        <v>496</v>
      </c>
      <c r="D42" s="19">
        <v>425.0</v>
      </c>
      <c r="E42" s="20">
        <v>1.0</v>
      </c>
      <c r="F42" s="19">
        <f t="shared" si="3"/>
        <v>425</v>
      </c>
      <c r="G42" s="11"/>
      <c r="H42" s="11" t="s">
        <v>497</v>
      </c>
      <c r="I42" s="10" t="s">
        <v>446</v>
      </c>
      <c r="K42" s="10" t="s">
        <v>455</v>
      </c>
      <c r="L42" s="12" t="s">
        <v>498</v>
      </c>
      <c r="M42" s="21">
        <f t="shared" si="2"/>
        <v>0</v>
      </c>
    </row>
    <row r="43" ht="15.75" customHeight="1">
      <c r="A43" s="10" t="s">
        <v>499</v>
      </c>
      <c r="B43" s="11" t="s">
        <v>500</v>
      </c>
      <c r="C43" s="10" t="s">
        <v>501</v>
      </c>
      <c r="D43" s="19">
        <v>566.07</v>
      </c>
      <c r="E43" s="20">
        <v>1.0</v>
      </c>
      <c r="F43" s="19">
        <f t="shared" si="3"/>
        <v>566.07</v>
      </c>
      <c r="G43" s="11" t="s">
        <v>502</v>
      </c>
      <c r="H43" s="11" t="s">
        <v>503</v>
      </c>
      <c r="I43" s="10" t="s">
        <v>446</v>
      </c>
      <c r="K43" s="10" t="s">
        <v>23</v>
      </c>
      <c r="L43" s="12" t="s">
        <v>504</v>
      </c>
      <c r="M43" s="29">
        <f t="shared" si="2"/>
        <v>566.07</v>
      </c>
    </row>
    <row r="44" ht="15.75" customHeight="1">
      <c r="A44" s="10" t="s">
        <v>505</v>
      </c>
      <c r="B44" s="10" t="s">
        <v>372</v>
      </c>
      <c r="C44" s="10" t="s">
        <v>506</v>
      </c>
      <c r="D44" s="19">
        <v>48.23</v>
      </c>
      <c r="E44" s="20">
        <v>1.0</v>
      </c>
      <c r="F44" s="19">
        <f t="shared" si="3"/>
        <v>48.23</v>
      </c>
      <c r="G44" s="11" t="s">
        <v>507</v>
      </c>
      <c r="H44" s="10" t="s">
        <v>508</v>
      </c>
      <c r="I44" s="10" t="s">
        <v>446</v>
      </c>
      <c r="J44" s="10" t="s">
        <v>376</v>
      </c>
      <c r="K44" s="10" t="s">
        <v>23</v>
      </c>
      <c r="L44" s="12" t="s">
        <v>377</v>
      </c>
      <c r="M44" s="29">
        <f t="shared" si="2"/>
        <v>48.23</v>
      </c>
    </row>
    <row r="45" ht="15.75" customHeight="1">
      <c r="A45" s="10" t="s">
        <v>509</v>
      </c>
      <c r="B45" s="10" t="s">
        <v>164</v>
      </c>
      <c r="C45" s="10" t="s">
        <v>510</v>
      </c>
      <c r="D45" s="19">
        <v>95.0</v>
      </c>
      <c r="E45" s="20">
        <v>2.0</v>
      </c>
      <c r="F45" s="19">
        <f t="shared" si="3"/>
        <v>190</v>
      </c>
      <c r="G45" s="11" t="s">
        <v>511</v>
      </c>
      <c r="H45" s="10" t="s">
        <v>512</v>
      </c>
      <c r="I45" s="10" t="s">
        <v>446</v>
      </c>
      <c r="K45" s="10" t="s">
        <v>23</v>
      </c>
      <c r="L45" s="12" t="s">
        <v>513</v>
      </c>
      <c r="M45" s="29">
        <f t="shared" si="2"/>
        <v>190</v>
      </c>
    </row>
    <row r="46" ht="15.75" customHeight="1">
      <c r="A46" s="10" t="s">
        <v>514</v>
      </c>
      <c r="B46" s="11" t="s">
        <v>356</v>
      </c>
      <c r="C46" s="10" t="s">
        <v>515</v>
      </c>
      <c r="D46" s="19">
        <v>283.0</v>
      </c>
      <c r="E46" s="20">
        <v>1.0</v>
      </c>
      <c r="F46" s="19">
        <f t="shared" si="3"/>
        <v>283</v>
      </c>
      <c r="G46" s="11" t="s">
        <v>516</v>
      </c>
      <c r="H46" s="11" t="s">
        <v>517</v>
      </c>
      <c r="I46" s="10" t="s">
        <v>446</v>
      </c>
      <c r="K46" s="10" t="s">
        <v>455</v>
      </c>
      <c r="L46" s="12" t="s">
        <v>361</v>
      </c>
      <c r="M46" s="21">
        <f t="shared" si="2"/>
        <v>0</v>
      </c>
    </row>
    <row r="47" ht="15.75" customHeight="1">
      <c r="A47" s="10" t="s">
        <v>518</v>
      </c>
      <c r="B47" s="10" t="s">
        <v>519</v>
      </c>
      <c r="D47" s="19">
        <v>20.88</v>
      </c>
      <c r="E47" s="20">
        <v>1.0</v>
      </c>
      <c r="F47" s="19">
        <f t="shared" si="3"/>
        <v>20.88</v>
      </c>
      <c r="G47" s="11" t="s">
        <v>520</v>
      </c>
      <c r="H47" s="11" t="s">
        <v>521</v>
      </c>
      <c r="I47" s="10" t="s">
        <v>446</v>
      </c>
      <c r="J47" s="10" t="s">
        <v>425</v>
      </c>
      <c r="K47" s="10" t="s">
        <v>23</v>
      </c>
      <c r="L47" s="12" t="s">
        <v>522</v>
      </c>
      <c r="M47" s="29">
        <f t="shared" si="2"/>
        <v>20.88</v>
      </c>
    </row>
    <row r="48" ht="15.75" customHeight="1">
      <c r="A48" s="10" t="s">
        <v>523</v>
      </c>
      <c r="B48" s="10" t="s">
        <v>524</v>
      </c>
      <c r="C48" s="10" t="s">
        <v>525</v>
      </c>
      <c r="D48" s="19">
        <v>973.0</v>
      </c>
      <c r="E48" s="20">
        <v>1.0</v>
      </c>
      <c r="F48" s="19">
        <f t="shared" si="3"/>
        <v>973</v>
      </c>
      <c r="G48" s="11" t="s">
        <v>526</v>
      </c>
      <c r="H48" s="11" t="s">
        <v>527</v>
      </c>
      <c r="I48" s="10" t="s">
        <v>446</v>
      </c>
      <c r="J48" s="10" t="s">
        <v>528</v>
      </c>
      <c r="K48" s="10" t="s">
        <v>240</v>
      </c>
      <c r="L48" s="12" t="s">
        <v>529</v>
      </c>
      <c r="M48" s="29">
        <f t="shared" si="2"/>
        <v>973</v>
      </c>
    </row>
    <row r="49" ht="15.75" customHeight="1">
      <c r="A49" s="10" t="s">
        <v>379</v>
      </c>
      <c r="B49" s="10" t="s">
        <v>372</v>
      </c>
      <c r="C49" s="10" t="s">
        <v>530</v>
      </c>
      <c r="D49" s="19">
        <v>72.22</v>
      </c>
      <c r="E49" s="20">
        <v>1.0</v>
      </c>
      <c r="F49" s="19">
        <f t="shared" si="3"/>
        <v>72.22</v>
      </c>
      <c r="G49" s="11" t="s">
        <v>531</v>
      </c>
      <c r="H49" s="11" t="s">
        <v>404</v>
      </c>
      <c r="I49" s="10" t="s">
        <v>24</v>
      </c>
      <c r="J49" s="10" t="s">
        <v>2</v>
      </c>
      <c r="K49" s="10" t="s">
        <v>240</v>
      </c>
      <c r="L49" s="12" t="s">
        <v>532</v>
      </c>
      <c r="M49" s="29">
        <f t="shared" si="2"/>
        <v>72.22</v>
      </c>
    </row>
    <row r="50" ht="15.75" customHeight="1">
      <c r="A50" s="10" t="s">
        <v>533</v>
      </c>
      <c r="B50" s="10" t="s">
        <v>534</v>
      </c>
      <c r="C50" s="10" t="s">
        <v>535</v>
      </c>
      <c r="D50" s="19">
        <v>62.97</v>
      </c>
      <c r="E50" s="20">
        <v>1.0</v>
      </c>
      <c r="F50" s="19">
        <f t="shared" si="3"/>
        <v>62.97</v>
      </c>
      <c r="G50" s="11" t="s">
        <v>536</v>
      </c>
      <c r="H50" s="11" t="s">
        <v>537</v>
      </c>
      <c r="I50" s="10" t="s">
        <v>24</v>
      </c>
      <c r="J50" s="10" t="s">
        <v>538</v>
      </c>
      <c r="K50" s="10" t="s">
        <v>240</v>
      </c>
      <c r="L50" s="12" t="s">
        <v>539</v>
      </c>
      <c r="M50" s="21" t="s">
        <v>540</v>
      </c>
    </row>
    <row r="51" ht="15.75" customHeight="1">
      <c r="D51" s="19"/>
      <c r="E51" s="20"/>
      <c r="F51" s="19"/>
      <c r="G51" s="11"/>
      <c r="M51" s="21"/>
    </row>
    <row r="52" ht="15.75" customHeight="1">
      <c r="D52" s="19"/>
      <c r="E52" s="20"/>
      <c r="F52" s="19"/>
      <c r="G52" s="11"/>
      <c r="M52" s="21"/>
    </row>
    <row r="53" ht="15.75" customHeight="1">
      <c r="D53" s="19"/>
      <c r="E53" s="20"/>
      <c r="F53" s="19"/>
      <c r="G53" s="11"/>
      <c r="M53" s="21"/>
    </row>
    <row r="54" ht="15.75" customHeight="1">
      <c r="D54" s="19"/>
      <c r="E54" s="20"/>
      <c r="F54" s="19"/>
      <c r="G54" s="11"/>
      <c r="M54" s="21"/>
    </row>
    <row r="55" ht="15.75" customHeight="1">
      <c r="D55" s="19"/>
      <c r="E55" s="20"/>
      <c r="F55" s="19"/>
      <c r="G55" s="11"/>
      <c r="M55" s="21"/>
    </row>
    <row r="56" ht="15.75" customHeight="1">
      <c r="D56" s="19"/>
      <c r="E56" s="20"/>
      <c r="F56" s="19"/>
      <c r="G56" s="11"/>
      <c r="M56" s="21"/>
    </row>
    <row r="57" ht="15.75" customHeight="1">
      <c r="D57" s="19"/>
      <c r="E57" s="20"/>
      <c r="F57" s="19"/>
      <c r="G57" s="11"/>
      <c r="M57" s="21"/>
    </row>
    <row r="58" ht="15.75" customHeight="1">
      <c r="D58" s="19"/>
      <c r="E58" s="20"/>
      <c r="F58" s="19"/>
      <c r="G58" s="11"/>
      <c r="M58" s="21"/>
    </row>
    <row r="59" ht="15.75" customHeight="1">
      <c r="D59" s="19"/>
      <c r="E59" s="20"/>
      <c r="F59" s="19"/>
      <c r="G59" s="11"/>
      <c r="M59" s="21"/>
    </row>
    <row r="60" ht="15.75" customHeight="1">
      <c r="D60" s="19"/>
      <c r="E60" s="20"/>
      <c r="F60" s="19"/>
      <c r="G60" s="11"/>
      <c r="M60" s="21"/>
    </row>
    <row r="61" ht="15.75" customHeight="1">
      <c r="D61" s="19"/>
      <c r="E61" s="20"/>
      <c r="F61" s="19"/>
      <c r="G61" s="11"/>
      <c r="M61" s="21"/>
    </row>
    <row r="62" ht="15.75" customHeight="1">
      <c r="D62" s="19"/>
      <c r="E62" s="20"/>
      <c r="F62" s="19"/>
      <c r="G62" s="11"/>
      <c r="M62" s="21"/>
    </row>
    <row r="63" ht="15.75" customHeight="1">
      <c r="D63" s="19"/>
      <c r="E63" s="20"/>
      <c r="F63" s="19"/>
      <c r="G63" s="11"/>
      <c r="M63" s="21"/>
    </row>
    <row r="64" ht="15.75" customHeight="1">
      <c r="D64" s="19"/>
      <c r="E64" s="20"/>
      <c r="F64" s="19"/>
      <c r="G64" s="11"/>
      <c r="M64" s="21"/>
    </row>
    <row r="65" ht="15.75" customHeight="1">
      <c r="D65" s="19"/>
      <c r="E65" s="20"/>
      <c r="F65" s="19"/>
      <c r="G65" s="11"/>
      <c r="M65" s="21"/>
    </row>
    <row r="66" ht="15.75" customHeight="1">
      <c r="D66" s="19"/>
      <c r="E66" s="20"/>
      <c r="F66" s="19"/>
      <c r="G66" s="11"/>
      <c r="M66" s="21"/>
    </row>
    <row r="67" ht="15.75" customHeight="1">
      <c r="D67" s="19"/>
      <c r="E67" s="20"/>
      <c r="F67" s="19"/>
      <c r="G67" s="11"/>
      <c r="M67" s="21"/>
    </row>
    <row r="68" ht="15.75" customHeight="1">
      <c r="D68" s="19"/>
      <c r="E68" s="20"/>
      <c r="F68" s="19"/>
      <c r="G68" s="11"/>
      <c r="M68" s="21"/>
    </row>
    <row r="69" ht="15.75" customHeight="1">
      <c r="D69" s="19"/>
      <c r="E69" s="20"/>
      <c r="F69" s="19"/>
      <c r="G69" s="11"/>
      <c r="M69" s="21"/>
    </row>
    <row r="70" ht="15.75" customHeight="1">
      <c r="D70" s="19"/>
      <c r="E70" s="20"/>
      <c r="F70" s="19"/>
      <c r="G70" s="11"/>
      <c r="M70" s="21"/>
    </row>
    <row r="71" ht="15.75" customHeight="1">
      <c r="D71" s="19"/>
      <c r="E71" s="20"/>
      <c r="F71" s="19"/>
      <c r="G71" s="11"/>
      <c r="M71" s="21"/>
    </row>
    <row r="72" ht="15.75" customHeight="1">
      <c r="D72" s="19"/>
      <c r="E72" s="20"/>
      <c r="F72" s="19"/>
      <c r="G72" s="11"/>
      <c r="M72" s="21"/>
    </row>
    <row r="73" ht="15.75" customHeight="1">
      <c r="D73" s="19"/>
      <c r="E73" s="20"/>
      <c r="F73" s="19"/>
      <c r="G73" s="11"/>
      <c r="M73" s="21"/>
    </row>
    <row r="74" ht="15.75" customHeight="1">
      <c r="D74" s="19"/>
      <c r="E74" s="20"/>
      <c r="F74" s="19"/>
      <c r="G74" s="11"/>
      <c r="M74" s="21"/>
    </row>
    <row r="75" ht="15.75" customHeight="1">
      <c r="D75" s="19"/>
      <c r="E75" s="20"/>
      <c r="F75" s="19"/>
      <c r="G75" s="11"/>
      <c r="M75" s="21"/>
    </row>
    <row r="76" ht="15.75" customHeight="1">
      <c r="D76" s="19"/>
      <c r="E76" s="20"/>
      <c r="F76" s="19"/>
      <c r="G76" s="11"/>
      <c r="M76" s="21"/>
    </row>
    <row r="77" ht="15.75" customHeight="1">
      <c r="D77" s="19"/>
      <c r="E77" s="20"/>
      <c r="F77" s="19"/>
      <c r="G77" s="11"/>
      <c r="M77" s="21"/>
    </row>
    <row r="78" ht="15.75" customHeight="1">
      <c r="D78" s="19"/>
      <c r="E78" s="20"/>
      <c r="F78" s="19"/>
      <c r="G78" s="11"/>
      <c r="M78" s="21"/>
    </row>
    <row r="79" ht="15.75" customHeight="1">
      <c r="D79" s="19"/>
      <c r="E79" s="20"/>
      <c r="F79" s="19"/>
      <c r="G79" s="11"/>
      <c r="M79" s="21"/>
    </row>
    <row r="80" ht="15.75" customHeight="1">
      <c r="D80" s="19"/>
      <c r="E80" s="20"/>
      <c r="F80" s="19"/>
      <c r="G80" s="11"/>
      <c r="M80" s="21"/>
    </row>
    <row r="81" ht="15.75" customHeight="1">
      <c r="D81" s="19"/>
      <c r="E81" s="20"/>
      <c r="F81" s="19"/>
      <c r="G81" s="11"/>
      <c r="M81" s="21"/>
    </row>
    <row r="82" ht="15.75" customHeight="1">
      <c r="D82" s="19"/>
      <c r="E82" s="20"/>
      <c r="F82" s="19"/>
      <c r="G82" s="11"/>
      <c r="M82" s="21"/>
    </row>
    <row r="83" ht="15.75" customHeight="1">
      <c r="D83" s="19"/>
      <c r="E83" s="20"/>
      <c r="F83" s="19"/>
      <c r="G83" s="11"/>
      <c r="M83" s="21"/>
    </row>
    <row r="84" ht="15.75" customHeight="1">
      <c r="D84" s="19"/>
      <c r="E84" s="20"/>
      <c r="F84" s="19"/>
      <c r="G84" s="11"/>
      <c r="M84" s="21"/>
    </row>
    <row r="85" ht="15.75" customHeight="1">
      <c r="D85" s="19"/>
      <c r="E85" s="20"/>
      <c r="F85" s="19"/>
      <c r="G85" s="11"/>
      <c r="M85" s="21"/>
    </row>
    <row r="86" ht="15.75" customHeight="1">
      <c r="D86" s="19"/>
      <c r="E86" s="20"/>
      <c r="F86" s="19"/>
      <c r="G86" s="11"/>
      <c r="M86" s="21"/>
    </row>
    <row r="87" ht="15.75" customHeight="1">
      <c r="D87" s="19"/>
      <c r="E87" s="20"/>
      <c r="F87" s="19"/>
      <c r="G87" s="11"/>
      <c r="M87" s="21"/>
    </row>
    <row r="88" ht="15.75" customHeight="1">
      <c r="D88" s="19"/>
      <c r="E88" s="20"/>
      <c r="F88" s="19"/>
      <c r="G88" s="11"/>
      <c r="M88" s="21"/>
    </row>
    <row r="89" ht="15.75" customHeight="1">
      <c r="D89" s="19"/>
      <c r="E89" s="20"/>
      <c r="F89" s="19"/>
      <c r="G89" s="11"/>
      <c r="M89" s="21"/>
    </row>
    <row r="90" ht="15.75" customHeight="1">
      <c r="D90" s="19"/>
      <c r="E90" s="20"/>
      <c r="F90" s="19"/>
      <c r="G90" s="11"/>
      <c r="M90" s="21"/>
    </row>
    <row r="91" ht="15.75" customHeight="1">
      <c r="D91" s="19"/>
      <c r="E91" s="20"/>
      <c r="F91" s="19"/>
      <c r="G91" s="11"/>
      <c r="M91" s="21"/>
    </row>
    <row r="92" ht="15.75" customHeight="1">
      <c r="D92" s="19"/>
      <c r="E92" s="20"/>
      <c r="F92" s="19"/>
      <c r="G92" s="11"/>
      <c r="M92" s="21"/>
    </row>
    <row r="93" ht="15.75" customHeight="1">
      <c r="D93" s="19"/>
      <c r="E93" s="20"/>
      <c r="F93" s="19"/>
      <c r="G93" s="11"/>
      <c r="M93" s="21"/>
    </row>
    <row r="94" ht="15.75" customHeight="1">
      <c r="D94" s="19"/>
      <c r="E94" s="20"/>
      <c r="F94" s="19"/>
      <c r="G94" s="11"/>
      <c r="M94" s="21"/>
    </row>
    <row r="95" ht="15.75" customHeight="1">
      <c r="D95" s="19"/>
      <c r="E95" s="20"/>
      <c r="F95" s="19"/>
      <c r="G95" s="11"/>
      <c r="M95" s="21"/>
    </row>
    <row r="96" ht="15.75" customHeight="1">
      <c r="D96" s="19"/>
      <c r="E96" s="20"/>
      <c r="F96" s="19"/>
      <c r="G96" s="11"/>
      <c r="M96" s="21"/>
    </row>
    <row r="97" ht="15.75" customHeight="1">
      <c r="D97" s="19"/>
      <c r="E97" s="20"/>
      <c r="F97" s="19"/>
      <c r="G97" s="11"/>
      <c r="M97" s="21"/>
    </row>
    <row r="98" ht="15.75" customHeight="1">
      <c r="D98" s="19"/>
      <c r="E98" s="20"/>
      <c r="F98" s="19"/>
      <c r="G98" s="11"/>
      <c r="M98" s="21"/>
    </row>
    <row r="99" ht="15.75" customHeight="1">
      <c r="D99" s="19"/>
      <c r="E99" s="20"/>
      <c r="F99" s="19"/>
      <c r="G99" s="11"/>
      <c r="M99" s="21"/>
    </row>
    <row r="100" ht="15.75" customHeight="1">
      <c r="D100" s="19"/>
      <c r="E100" s="20"/>
      <c r="F100" s="19"/>
      <c r="G100" s="11"/>
      <c r="M100" s="21"/>
    </row>
    <row r="101" ht="15.75" customHeight="1">
      <c r="D101" s="19"/>
      <c r="E101" s="20"/>
      <c r="F101" s="19"/>
      <c r="G101" s="11"/>
      <c r="M101" s="21"/>
    </row>
    <row r="102" ht="15.75" customHeight="1">
      <c r="D102" s="19"/>
      <c r="E102" s="20"/>
      <c r="F102" s="19"/>
      <c r="G102" s="11"/>
      <c r="M102" s="21"/>
    </row>
    <row r="103" ht="15.75" customHeight="1">
      <c r="D103" s="19"/>
      <c r="E103" s="20"/>
      <c r="F103" s="19"/>
      <c r="G103" s="11"/>
      <c r="M103" s="21"/>
    </row>
    <row r="104" ht="15.75" customHeight="1">
      <c r="D104" s="19"/>
      <c r="E104" s="20"/>
      <c r="F104" s="19"/>
      <c r="G104" s="11"/>
      <c r="M104" s="21"/>
    </row>
    <row r="105" ht="15.75" customHeight="1">
      <c r="D105" s="19"/>
      <c r="E105" s="20"/>
      <c r="F105" s="19"/>
      <c r="G105" s="11"/>
      <c r="M105" s="21"/>
    </row>
    <row r="106" ht="15.75" customHeight="1">
      <c r="D106" s="19"/>
      <c r="E106" s="20"/>
      <c r="F106" s="19"/>
      <c r="G106" s="11"/>
      <c r="M106" s="21"/>
    </row>
    <row r="107" ht="15.75" customHeight="1">
      <c r="D107" s="19"/>
      <c r="E107" s="20"/>
      <c r="F107" s="19"/>
      <c r="G107" s="11"/>
      <c r="M107" s="21"/>
    </row>
    <row r="108" ht="15.75" customHeight="1">
      <c r="D108" s="19"/>
      <c r="E108" s="20"/>
      <c r="F108" s="19"/>
      <c r="G108" s="11"/>
      <c r="M108" s="21"/>
    </row>
    <row r="109" ht="15.75" customHeight="1">
      <c r="D109" s="19"/>
      <c r="E109" s="20"/>
      <c r="F109" s="19"/>
      <c r="G109" s="11"/>
      <c r="M109" s="21"/>
    </row>
    <row r="110" ht="15.75" customHeight="1">
      <c r="D110" s="19"/>
      <c r="E110" s="20"/>
      <c r="F110" s="19"/>
      <c r="G110" s="11"/>
      <c r="M110" s="21"/>
    </row>
    <row r="111" ht="15.75" customHeight="1">
      <c r="D111" s="19"/>
      <c r="E111" s="20"/>
      <c r="F111" s="19"/>
      <c r="G111" s="11"/>
      <c r="M111" s="21"/>
    </row>
    <row r="112" ht="15.75" customHeight="1">
      <c r="D112" s="19"/>
      <c r="E112" s="20"/>
      <c r="F112" s="19"/>
      <c r="G112" s="11"/>
      <c r="M112" s="21"/>
    </row>
    <row r="113" ht="15.75" customHeight="1">
      <c r="D113" s="19"/>
      <c r="E113" s="20"/>
      <c r="F113" s="19"/>
      <c r="G113" s="11"/>
      <c r="M113" s="21"/>
    </row>
    <row r="114" ht="15.75" customHeight="1">
      <c r="D114" s="19"/>
      <c r="E114" s="20"/>
      <c r="F114" s="19"/>
      <c r="G114" s="11"/>
      <c r="M114" s="21"/>
    </row>
    <row r="115" ht="15.75" customHeight="1">
      <c r="D115" s="19"/>
      <c r="E115" s="20"/>
      <c r="F115" s="19"/>
      <c r="G115" s="11"/>
      <c r="M115" s="21"/>
    </row>
    <row r="116" ht="15.75" customHeight="1">
      <c r="D116" s="19"/>
      <c r="E116" s="20"/>
      <c r="F116" s="19"/>
      <c r="G116" s="11"/>
      <c r="M116" s="21"/>
    </row>
    <row r="117" ht="15.75" customHeight="1">
      <c r="D117" s="19"/>
      <c r="E117" s="20"/>
      <c r="F117" s="19"/>
      <c r="G117" s="11"/>
      <c r="M117" s="21"/>
    </row>
    <row r="118" ht="15.75" customHeight="1">
      <c r="D118" s="19"/>
      <c r="E118" s="20"/>
      <c r="F118" s="19"/>
      <c r="G118" s="11"/>
      <c r="M118" s="21"/>
    </row>
    <row r="119" ht="15.75" customHeight="1">
      <c r="D119" s="19"/>
      <c r="E119" s="20"/>
      <c r="F119" s="19"/>
      <c r="G119" s="11"/>
      <c r="M119" s="21"/>
    </row>
    <row r="120" ht="15.75" customHeight="1">
      <c r="D120" s="19"/>
      <c r="E120" s="20"/>
      <c r="F120" s="19"/>
      <c r="G120" s="11"/>
      <c r="M120" s="21"/>
    </row>
    <row r="121" ht="15.75" customHeight="1">
      <c r="D121" s="19"/>
      <c r="E121" s="20"/>
      <c r="F121" s="19"/>
      <c r="G121" s="11"/>
      <c r="M121" s="21"/>
    </row>
    <row r="122" ht="15.75" customHeight="1">
      <c r="D122" s="19"/>
      <c r="E122" s="20"/>
      <c r="F122" s="19"/>
      <c r="G122" s="11"/>
      <c r="M122" s="21"/>
    </row>
    <row r="123" ht="15.75" customHeight="1">
      <c r="D123" s="19"/>
      <c r="E123" s="20"/>
      <c r="F123" s="19"/>
      <c r="G123" s="11"/>
      <c r="M123" s="21"/>
    </row>
    <row r="124" ht="15.75" customHeight="1">
      <c r="D124" s="19"/>
      <c r="E124" s="20"/>
      <c r="F124" s="19"/>
      <c r="G124" s="11"/>
      <c r="M124" s="21"/>
    </row>
    <row r="125" ht="15.75" customHeight="1">
      <c r="D125" s="19"/>
      <c r="E125" s="20"/>
      <c r="F125" s="19"/>
      <c r="G125" s="11"/>
      <c r="M125" s="21"/>
    </row>
    <row r="126" ht="15.75" customHeight="1">
      <c r="D126" s="19"/>
      <c r="E126" s="20"/>
      <c r="F126" s="19"/>
      <c r="G126" s="11"/>
      <c r="M126" s="21"/>
    </row>
    <row r="127" ht="15.75" customHeight="1">
      <c r="D127" s="19"/>
      <c r="E127" s="20"/>
      <c r="F127" s="19"/>
      <c r="G127" s="11"/>
      <c r="M127" s="21"/>
    </row>
    <row r="128" ht="15.75" customHeight="1">
      <c r="D128" s="19"/>
      <c r="E128" s="20"/>
      <c r="F128" s="19"/>
      <c r="G128" s="11"/>
      <c r="M128" s="21"/>
    </row>
    <row r="129" ht="15.75" customHeight="1">
      <c r="D129" s="19"/>
      <c r="E129" s="20"/>
      <c r="F129" s="19"/>
      <c r="G129" s="11"/>
      <c r="M129" s="21"/>
    </row>
    <row r="130" ht="15.75" customHeight="1">
      <c r="D130" s="19"/>
      <c r="E130" s="20"/>
      <c r="F130" s="19"/>
      <c r="G130" s="11"/>
      <c r="M130" s="21"/>
    </row>
    <row r="131" ht="15.75" customHeight="1">
      <c r="D131" s="19"/>
      <c r="E131" s="20"/>
      <c r="F131" s="19"/>
      <c r="G131" s="11"/>
      <c r="M131" s="21"/>
    </row>
    <row r="132" ht="15.75" customHeight="1">
      <c r="D132" s="19"/>
      <c r="E132" s="20"/>
      <c r="F132" s="19"/>
      <c r="G132" s="11"/>
      <c r="M132" s="21"/>
    </row>
    <row r="133" ht="15.75" customHeight="1">
      <c r="D133" s="19"/>
      <c r="E133" s="20"/>
      <c r="F133" s="19"/>
      <c r="G133" s="11"/>
      <c r="M133" s="21"/>
    </row>
    <row r="134" ht="15.75" customHeight="1">
      <c r="D134" s="19"/>
      <c r="E134" s="20"/>
      <c r="F134" s="19"/>
      <c r="G134" s="11"/>
      <c r="M134" s="21"/>
    </row>
    <row r="135" ht="15.75" customHeight="1">
      <c r="D135" s="19"/>
      <c r="E135" s="20"/>
      <c r="F135" s="19"/>
      <c r="G135" s="11"/>
      <c r="M135" s="21"/>
    </row>
    <row r="136" ht="15.75" customHeight="1">
      <c r="D136" s="19"/>
      <c r="E136" s="20"/>
      <c r="F136" s="19"/>
      <c r="G136" s="11"/>
      <c r="M136" s="21"/>
    </row>
    <row r="137" ht="15.75" customHeight="1">
      <c r="D137" s="19"/>
      <c r="E137" s="20"/>
      <c r="F137" s="19"/>
      <c r="G137" s="11"/>
      <c r="M137" s="21"/>
    </row>
    <row r="138" ht="15.75" customHeight="1">
      <c r="D138" s="19"/>
      <c r="E138" s="20"/>
      <c r="F138" s="19"/>
      <c r="G138" s="11"/>
      <c r="M138" s="21"/>
    </row>
    <row r="139" ht="15.75" customHeight="1">
      <c r="D139" s="19"/>
      <c r="E139" s="20"/>
      <c r="F139" s="19"/>
      <c r="G139" s="11"/>
      <c r="M139" s="21"/>
    </row>
    <row r="140" ht="15.75" customHeight="1">
      <c r="D140" s="19"/>
      <c r="E140" s="20"/>
      <c r="F140" s="19"/>
      <c r="G140" s="11"/>
      <c r="M140" s="21"/>
    </row>
    <row r="141" ht="15.75" customHeight="1">
      <c r="D141" s="19"/>
      <c r="E141" s="20"/>
      <c r="F141" s="19"/>
      <c r="G141" s="11"/>
      <c r="M141" s="21"/>
    </row>
    <row r="142" ht="15.75" customHeight="1">
      <c r="D142" s="19"/>
      <c r="E142" s="20"/>
      <c r="F142" s="19"/>
      <c r="G142" s="11"/>
      <c r="M142" s="21"/>
    </row>
    <row r="143" ht="15.75" customHeight="1">
      <c r="D143" s="19"/>
      <c r="E143" s="20"/>
      <c r="F143" s="19"/>
      <c r="G143" s="11"/>
      <c r="M143" s="21"/>
    </row>
    <row r="144" ht="15.75" customHeight="1">
      <c r="D144" s="19"/>
      <c r="E144" s="20"/>
      <c r="F144" s="19"/>
      <c r="G144" s="11"/>
      <c r="M144" s="21"/>
    </row>
    <row r="145" ht="15.75" customHeight="1">
      <c r="D145" s="19"/>
      <c r="E145" s="20"/>
      <c r="F145" s="19"/>
      <c r="G145" s="11"/>
      <c r="M145" s="21"/>
    </row>
    <row r="146" ht="15.75" customHeight="1">
      <c r="D146" s="19"/>
      <c r="E146" s="20"/>
      <c r="F146" s="19"/>
      <c r="G146" s="11"/>
      <c r="M146" s="21"/>
    </row>
    <row r="147" ht="15.75" customHeight="1">
      <c r="D147" s="19"/>
      <c r="E147" s="20"/>
      <c r="F147" s="19"/>
      <c r="G147" s="11"/>
      <c r="M147" s="21"/>
    </row>
    <row r="148" ht="15.75" customHeight="1">
      <c r="D148" s="19"/>
      <c r="E148" s="20"/>
      <c r="F148" s="19"/>
      <c r="G148" s="11"/>
      <c r="M148" s="21"/>
    </row>
    <row r="149" ht="15.75" customHeight="1">
      <c r="D149" s="19"/>
      <c r="E149" s="20"/>
      <c r="F149" s="19"/>
      <c r="G149" s="11"/>
      <c r="M149" s="21"/>
    </row>
    <row r="150" ht="15.75" customHeight="1">
      <c r="D150" s="19"/>
      <c r="E150" s="20"/>
      <c r="F150" s="19"/>
      <c r="G150" s="11"/>
      <c r="M150" s="21"/>
    </row>
    <row r="151" ht="15.75" customHeight="1">
      <c r="D151" s="19"/>
      <c r="E151" s="20"/>
      <c r="F151" s="19"/>
      <c r="G151" s="11"/>
      <c r="M151" s="21"/>
    </row>
    <row r="152" ht="15.75" customHeight="1">
      <c r="D152" s="19"/>
      <c r="E152" s="20"/>
      <c r="F152" s="19"/>
      <c r="G152" s="11"/>
      <c r="M152" s="21"/>
    </row>
    <row r="153" ht="15.75" customHeight="1">
      <c r="D153" s="19"/>
      <c r="E153" s="20"/>
      <c r="F153" s="19"/>
      <c r="G153" s="11"/>
      <c r="M153" s="21"/>
    </row>
    <row r="154" ht="15.75" customHeight="1">
      <c r="D154" s="19"/>
      <c r="E154" s="20"/>
      <c r="F154" s="19"/>
      <c r="G154" s="11"/>
      <c r="M154" s="21"/>
    </row>
    <row r="155" ht="15.75" customHeight="1">
      <c r="D155" s="19"/>
      <c r="E155" s="20"/>
      <c r="F155" s="19"/>
      <c r="G155" s="11"/>
      <c r="M155" s="21"/>
    </row>
    <row r="156" ht="15.75" customHeight="1">
      <c r="D156" s="19"/>
      <c r="E156" s="20"/>
      <c r="F156" s="19"/>
      <c r="G156" s="11"/>
      <c r="M156" s="21"/>
    </row>
    <row r="157" ht="15.75" customHeight="1">
      <c r="D157" s="19"/>
      <c r="E157" s="20"/>
      <c r="F157" s="19"/>
      <c r="G157" s="11"/>
      <c r="M157" s="21"/>
    </row>
    <row r="158" ht="15.75" customHeight="1">
      <c r="D158" s="19"/>
      <c r="E158" s="20"/>
      <c r="F158" s="19"/>
      <c r="G158" s="11"/>
      <c r="M158" s="21"/>
    </row>
    <row r="159" ht="15.75" customHeight="1">
      <c r="D159" s="19"/>
      <c r="E159" s="20"/>
      <c r="F159" s="19"/>
      <c r="G159" s="11"/>
      <c r="M159" s="21"/>
    </row>
    <row r="160" ht="15.75" customHeight="1">
      <c r="D160" s="19"/>
      <c r="E160" s="20"/>
      <c r="F160" s="19"/>
      <c r="G160" s="11"/>
      <c r="M160" s="21"/>
    </row>
    <row r="161" ht="15.75" customHeight="1">
      <c r="D161" s="19"/>
      <c r="E161" s="20"/>
      <c r="F161" s="19"/>
      <c r="G161" s="11"/>
      <c r="M161" s="21"/>
    </row>
    <row r="162" ht="15.75" customHeight="1">
      <c r="D162" s="19"/>
      <c r="E162" s="20"/>
      <c r="F162" s="19"/>
      <c r="G162" s="11"/>
      <c r="M162" s="21"/>
    </row>
    <row r="163" ht="15.75" customHeight="1">
      <c r="D163" s="19"/>
      <c r="E163" s="20"/>
      <c r="F163" s="19"/>
      <c r="G163" s="11"/>
      <c r="M163" s="21"/>
    </row>
    <row r="164" ht="15.75" customHeight="1">
      <c r="D164" s="19"/>
      <c r="E164" s="20"/>
      <c r="F164" s="19"/>
      <c r="G164" s="11"/>
      <c r="M164" s="21"/>
    </row>
    <row r="165" ht="15.75" customHeight="1">
      <c r="D165" s="19"/>
      <c r="E165" s="20"/>
      <c r="F165" s="19"/>
      <c r="G165" s="11"/>
      <c r="M165" s="21"/>
    </row>
    <row r="166" ht="15.75" customHeight="1">
      <c r="D166" s="19"/>
      <c r="E166" s="20"/>
      <c r="F166" s="19"/>
      <c r="G166" s="11"/>
      <c r="M166" s="21"/>
    </row>
    <row r="167" ht="15.75" customHeight="1">
      <c r="D167" s="19"/>
      <c r="E167" s="20"/>
      <c r="F167" s="19"/>
      <c r="G167" s="11"/>
      <c r="M167" s="21"/>
    </row>
    <row r="168" ht="15.75" customHeight="1">
      <c r="D168" s="19"/>
      <c r="E168" s="20"/>
      <c r="F168" s="19"/>
      <c r="G168" s="11"/>
      <c r="M168" s="21"/>
    </row>
    <row r="169" ht="15.75" customHeight="1">
      <c r="D169" s="19"/>
      <c r="E169" s="20"/>
      <c r="F169" s="19"/>
      <c r="G169" s="11"/>
      <c r="M169" s="21"/>
    </row>
    <row r="170" ht="15.75" customHeight="1">
      <c r="D170" s="19"/>
      <c r="E170" s="20"/>
      <c r="F170" s="19"/>
      <c r="G170" s="11"/>
      <c r="M170" s="21"/>
    </row>
    <row r="171" ht="15.75" customHeight="1">
      <c r="D171" s="19"/>
      <c r="E171" s="20"/>
      <c r="F171" s="19"/>
      <c r="G171" s="11"/>
      <c r="M171" s="21"/>
    </row>
    <row r="172" ht="15.75" customHeight="1">
      <c r="D172" s="19"/>
      <c r="E172" s="20"/>
      <c r="F172" s="19"/>
      <c r="G172" s="11"/>
      <c r="M172" s="21"/>
    </row>
    <row r="173" ht="15.75" customHeight="1">
      <c r="D173" s="19"/>
      <c r="E173" s="20"/>
      <c r="F173" s="19"/>
      <c r="G173" s="11"/>
      <c r="M173" s="21"/>
    </row>
    <row r="174" ht="15.75" customHeight="1">
      <c r="D174" s="19"/>
      <c r="E174" s="20"/>
      <c r="F174" s="19"/>
      <c r="G174" s="11"/>
      <c r="M174" s="21"/>
    </row>
    <row r="175" ht="15.75" customHeight="1">
      <c r="D175" s="19"/>
      <c r="E175" s="20"/>
      <c r="F175" s="19"/>
      <c r="G175" s="11"/>
      <c r="M175" s="21"/>
    </row>
    <row r="176" ht="15.75" customHeight="1">
      <c r="D176" s="19"/>
      <c r="E176" s="20"/>
      <c r="F176" s="19"/>
      <c r="G176" s="11"/>
      <c r="M176" s="21"/>
    </row>
    <row r="177" ht="15.75" customHeight="1">
      <c r="D177" s="19"/>
      <c r="E177" s="20"/>
      <c r="F177" s="19"/>
      <c r="G177" s="11"/>
      <c r="M177" s="21"/>
    </row>
    <row r="178" ht="15.75" customHeight="1">
      <c r="D178" s="19"/>
      <c r="E178" s="20"/>
      <c r="F178" s="19"/>
      <c r="G178" s="11"/>
      <c r="M178" s="21"/>
    </row>
    <row r="179" ht="15.75" customHeight="1">
      <c r="D179" s="19"/>
      <c r="E179" s="20"/>
      <c r="F179" s="19"/>
      <c r="G179" s="11"/>
      <c r="M179" s="21"/>
    </row>
    <row r="180" ht="15.75" customHeight="1">
      <c r="D180" s="19"/>
      <c r="E180" s="20"/>
      <c r="F180" s="19"/>
      <c r="G180" s="11"/>
      <c r="M180" s="21"/>
    </row>
    <row r="181" ht="15.75" customHeight="1">
      <c r="D181" s="19"/>
      <c r="E181" s="20"/>
      <c r="F181" s="19"/>
      <c r="G181" s="11"/>
      <c r="M181" s="21"/>
    </row>
    <row r="182" ht="15.75" customHeight="1">
      <c r="D182" s="19"/>
      <c r="E182" s="20"/>
      <c r="F182" s="19"/>
      <c r="G182" s="11"/>
      <c r="M182" s="21"/>
    </row>
    <row r="183" ht="15.75" customHeight="1">
      <c r="D183" s="19"/>
      <c r="E183" s="20"/>
      <c r="F183" s="19"/>
      <c r="G183" s="11"/>
      <c r="M183" s="21"/>
    </row>
    <row r="184" ht="15.75" customHeight="1">
      <c r="D184" s="19"/>
      <c r="E184" s="20"/>
      <c r="F184" s="19"/>
      <c r="G184" s="11"/>
      <c r="M184" s="21"/>
    </row>
    <row r="185" ht="15.75" customHeight="1">
      <c r="D185" s="19"/>
      <c r="E185" s="20"/>
      <c r="F185" s="19"/>
      <c r="G185" s="11"/>
      <c r="M185" s="21"/>
    </row>
    <row r="186" ht="15.75" customHeight="1">
      <c r="D186" s="19"/>
      <c r="E186" s="20"/>
      <c r="F186" s="19"/>
      <c r="G186" s="11"/>
      <c r="M186" s="21"/>
    </row>
    <row r="187" ht="15.75" customHeight="1">
      <c r="D187" s="19"/>
      <c r="E187" s="20"/>
      <c r="F187" s="19"/>
      <c r="G187" s="11"/>
      <c r="M187" s="21"/>
    </row>
    <row r="188" ht="15.75" customHeight="1">
      <c r="D188" s="19"/>
      <c r="E188" s="20"/>
      <c r="F188" s="19"/>
      <c r="G188" s="11"/>
      <c r="M188" s="21"/>
    </row>
    <row r="189" ht="15.75" customHeight="1">
      <c r="D189" s="19"/>
      <c r="E189" s="20"/>
      <c r="F189" s="19"/>
      <c r="G189" s="11"/>
      <c r="M189" s="21"/>
    </row>
    <row r="190" ht="15.75" customHeight="1">
      <c r="D190" s="19"/>
      <c r="E190" s="20"/>
      <c r="F190" s="19"/>
      <c r="G190" s="11"/>
      <c r="M190" s="21"/>
    </row>
    <row r="191" ht="15.75" customHeight="1">
      <c r="D191" s="19"/>
      <c r="E191" s="20"/>
      <c r="F191" s="19"/>
      <c r="G191" s="11"/>
      <c r="M191" s="21"/>
    </row>
    <row r="192" ht="15.75" customHeight="1">
      <c r="D192" s="19"/>
      <c r="E192" s="20"/>
      <c r="F192" s="19"/>
      <c r="G192" s="11"/>
      <c r="M192" s="21"/>
    </row>
    <row r="193" ht="15.75" customHeight="1">
      <c r="D193" s="19"/>
      <c r="E193" s="20"/>
      <c r="F193" s="19"/>
      <c r="G193" s="11"/>
      <c r="M193" s="21"/>
    </row>
    <row r="194" ht="15.75" customHeight="1">
      <c r="D194" s="19"/>
      <c r="E194" s="20"/>
      <c r="F194" s="19"/>
      <c r="G194" s="11"/>
      <c r="M194" s="21"/>
    </row>
    <row r="195" ht="15.75" customHeight="1">
      <c r="D195" s="19"/>
      <c r="E195" s="20"/>
      <c r="F195" s="19"/>
      <c r="G195" s="11"/>
      <c r="M195" s="21"/>
    </row>
    <row r="196" ht="15.75" customHeight="1">
      <c r="D196" s="19"/>
      <c r="E196" s="20"/>
      <c r="F196" s="19"/>
      <c r="G196" s="11"/>
      <c r="M196" s="21"/>
    </row>
    <row r="197" ht="15.75" customHeight="1">
      <c r="D197" s="19"/>
      <c r="E197" s="20"/>
      <c r="F197" s="19"/>
      <c r="G197" s="11"/>
      <c r="M197" s="21"/>
    </row>
    <row r="198" ht="15.75" customHeight="1">
      <c r="D198" s="19"/>
      <c r="E198" s="20"/>
      <c r="F198" s="19"/>
      <c r="G198" s="11"/>
      <c r="M198" s="21"/>
    </row>
    <row r="199" ht="15.75" customHeight="1">
      <c r="D199" s="19"/>
      <c r="E199" s="20"/>
      <c r="F199" s="19"/>
      <c r="G199" s="11"/>
      <c r="M199" s="21"/>
    </row>
    <row r="200" ht="15.75" customHeight="1">
      <c r="D200" s="19"/>
      <c r="E200" s="20"/>
      <c r="F200" s="19"/>
      <c r="G200" s="11"/>
      <c r="M200" s="21"/>
    </row>
    <row r="201" ht="15.75" customHeight="1">
      <c r="D201" s="19"/>
      <c r="E201" s="20"/>
      <c r="F201" s="19"/>
      <c r="G201" s="11"/>
      <c r="M201" s="21"/>
    </row>
    <row r="202" ht="15.75" customHeight="1">
      <c r="D202" s="19"/>
      <c r="E202" s="20"/>
      <c r="F202" s="19"/>
      <c r="G202" s="11"/>
      <c r="M202" s="21"/>
    </row>
    <row r="203" ht="15.75" customHeight="1">
      <c r="D203" s="19"/>
      <c r="E203" s="20"/>
      <c r="F203" s="19"/>
      <c r="G203" s="11"/>
      <c r="M203" s="21"/>
    </row>
    <row r="204" ht="15.75" customHeight="1">
      <c r="D204" s="19"/>
      <c r="E204" s="20"/>
      <c r="F204" s="19"/>
      <c r="G204" s="11"/>
      <c r="M204" s="21"/>
    </row>
    <row r="205" ht="15.75" customHeight="1">
      <c r="D205" s="19"/>
      <c r="E205" s="20"/>
      <c r="F205" s="19"/>
      <c r="G205" s="11"/>
      <c r="M205" s="21"/>
    </row>
    <row r="206" ht="15.75" customHeight="1">
      <c r="D206" s="19"/>
      <c r="E206" s="20"/>
      <c r="F206" s="19"/>
      <c r="G206" s="11"/>
      <c r="M206" s="21"/>
    </row>
    <row r="207" ht="15.75" customHeight="1">
      <c r="D207" s="19"/>
      <c r="E207" s="20"/>
      <c r="F207" s="19"/>
      <c r="G207" s="11"/>
      <c r="M207" s="21"/>
    </row>
    <row r="208" ht="15.75" customHeight="1">
      <c r="D208" s="19"/>
      <c r="E208" s="20"/>
      <c r="F208" s="19"/>
      <c r="G208" s="11"/>
      <c r="M208" s="21"/>
    </row>
    <row r="209" ht="15.75" customHeight="1">
      <c r="D209" s="19"/>
      <c r="E209" s="20"/>
      <c r="F209" s="19"/>
      <c r="G209" s="11"/>
      <c r="M209" s="21"/>
    </row>
    <row r="210" ht="15.75" customHeight="1">
      <c r="D210" s="19"/>
      <c r="E210" s="20"/>
      <c r="F210" s="19"/>
      <c r="G210" s="11"/>
      <c r="M210" s="21"/>
    </row>
    <row r="211" ht="15.75" customHeight="1">
      <c r="D211" s="19"/>
      <c r="E211" s="20"/>
      <c r="F211" s="19"/>
      <c r="G211" s="11"/>
      <c r="M211" s="21"/>
    </row>
    <row r="212" ht="15.75" customHeight="1">
      <c r="D212" s="19"/>
      <c r="E212" s="20"/>
      <c r="F212" s="19"/>
      <c r="G212" s="11"/>
      <c r="M212" s="21"/>
    </row>
    <row r="213" ht="15.75" customHeight="1">
      <c r="D213" s="19"/>
      <c r="E213" s="20"/>
      <c r="F213" s="19"/>
      <c r="G213" s="11"/>
      <c r="M213" s="21"/>
    </row>
    <row r="214" ht="15.75" customHeight="1">
      <c r="D214" s="19"/>
      <c r="E214" s="20"/>
      <c r="F214" s="19"/>
      <c r="G214" s="11"/>
      <c r="M214" s="21"/>
    </row>
    <row r="215" ht="15.75" customHeight="1">
      <c r="D215" s="19"/>
      <c r="E215" s="20"/>
      <c r="F215" s="19"/>
      <c r="G215" s="11"/>
      <c r="M215" s="21"/>
    </row>
    <row r="216" ht="15.75" customHeight="1">
      <c r="D216" s="19"/>
      <c r="E216" s="20"/>
      <c r="F216" s="19"/>
      <c r="G216" s="11"/>
      <c r="M216" s="21"/>
    </row>
    <row r="217" ht="15.75" customHeight="1">
      <c r="D217" s="19"/>
      <c r="E217" s="20"/>
      <c r="F217" s="19"/>
      <c r="G217" s="11"/>
      <c r="M217" s="21"/>
    </row>
    <row r="218" ht="15.75" customHeight="1">
      <c r="D218" s="19"/>
      <c r="E218" s="20"/>
      <c r="F218" s="19"/>
      <c r="G218" s="11"/>
      <c r="M218" s="21"/>
    </row>
    <row r="219" ht="15.75" customHeight="1">
      <c r="D219" s="19"/>
      <c r="E219" s="20"/>
      <c r="F219" s="19"/>
      <c r="G219" s="11"/>
      <c r="M219" s="21"/>
    </row>
    <row r="220" ht="15.75" customHeight="1">
      <c r="D220" s="19"/>
      <c r="E220" s="20"/>
      <c r="F220" s="19"/>
      <c r="G220" s="11"/>
      <c r="M220" s="21"/>
    </row>
    <row r="221" ht="15.75" customHeight="1">
      <c r="D221" s="19"/>
      <c r="E221" s="20"/>
      <c r="F221" s="19"/>
      <c r="G221" s="11"/>
      <c r="M221" s="21"/>
    </row>
    <row r="222" ht="15.75" customHeight="1">
      <c r="D222" s="19"/>
      <c r="E222" s="20"/>
      <c r="F222" s="19"/>
      <c r="G222" s="11"/>
      <c r="M222" s="21"/>
    </row>
    <row r="223" ht="15.75" customHeight="1">
      <c r="D223" s="19"/>
      <c r="E223" s="20"/>
      <c r="F223" s="19"/>
      <c r="G223" s="11"/>
      <c r="M223" s="21"/>
    </row>
    <row r="224" ht="15.75" customHeight="1">
      <c r="D224" s="19"/>
      <c r="E224" s="20"/>
      <c r="F224" s="19"/>
      <c r="G224" s="11"/>
      <c r="M224" s="21"/>
    </row>
    <row r="225" ht="15.75" customHeight="1">
      <c r="D225" s="19"/>
      <c r="E225" s="20"/>
      <c r="F225" s="19"/>
      <c r="G225" s="11"/>
      <c r="M225" s="21"/>
    </row>
    <row r="226" ht="15.75" customHeight="1">
      <c r="D226" s="19"/>
      <c r="E226" s="20"/>
      <c r="F226" s="19"/>
      <c r="G226" s="11"/>
      <c r="M226" s="21"/>
    </row>
    <row r="227" ht="15.75" customHeight="1">
      <c r="D227" s="19"/>
      <c r="E227" s="20"/>
      <c r="F227" s="19"/>
      <c r="G227" s="11"/>
      <c r="M227" s="21"/>
    </row>
    <row r="228" ht="15.75" customHeight="1">
      <c r="D228" s="19"/>
      <c r="E228" s="20"/>
      <c r="F228" s="19"/>
      <c r="G228" s="11"/>
      <c r="M228" s="21"/>
    </row>
    <row r="229" ht="15.75" customHeight="1">
      <c r="D229" s="19"/>
      <c r="E229" s="20"/>
      <c r="F229" s="19"/>
      <c r="G229" s="11"/>
      <c r="M229" s="21"/>
    </row>
    <row r="230" ht="15.75" customHeight="1">
      <c r="D230" s="19"/>
      <c r="E230" s="20"/>
      <c r="F230" s="19"/>
      <c r="G230" s="11"/>
      <c r="M230" s="21"/>
    </row>
    <row r="231" ht="15.75" customHeight="1">
      <c r="D231" s="19"/>
      <c r="E231" s="20"/>
      <c r="F231" s="19"/>
      <c r="G231" s="11"/>
      <c r="M231" s="21"/>
    </row>
    <row r="232" ht="15.75" customHeight="1">
      <c r="D232" s="19"/>
      <c r="E232" s="20"/>
      <c r="F232" s="19"/>
      <c r="G232" s="11"/>
      <c r="M232" s="21"/>
    </row>
    <row r="233" ht="15.75" customHeight="1">
      <c r="D233" s="19"/>
      <c r="E233" s="20"/>
      <c r="F233" s="19"/>
      <c r="G233" s="11"/>
      <c r="M233" s="21"/>
    </row>
    <row r="234" ht="15.75" customHeight="1">
      <c r="D234" s="19"/>
      <c r="E234" s="20"/>
      <c r="F234" s="19"/>
      <c r="G234" s="11"/>
      <c r="M234" s="21"/>
    </row>
    <row r="235" ht="15.75" customHeight="1">
      <c r="D235" s="19"/>
      <c r="E235" s="20"/>
      <c r="F235" s="19"/>
      <c r="G235" s="11"/>
      <c r="M235" s="21"/>
    </row>
    <row r="236" ht="15.75" customHeight="1">
      <c r="D236" s="19"/>
      <c r="E236" s="20"/>
      <c r="F236" s="19"/>
      <c r="G236" s="11"/>
      <c r="M236" s="21"/>
    </row>
    <row r="237" ht="15.75" customHeight="1">
      <c r="D237" s="19"/>
      <c r="E237" s="20"/>
      <c r="F237" s="19"/>
      <c r="G237" s="11"/>
      <c r="M237" s="21"/>
    </row>
    <row r="238" ht="15.75" customHeight="1">
      <c r="D238" s="19"/>
      <c r="E238" s="20"/>
      <c r="F238" s="19"/>
      <c r="G238" s="11"/>
      <c r="M238" s="21"/>
    </row>
    <row r="239" ht="15.75" customHeight="1">
      <c r="D239" s="19"/>
      <c r="E239" s="20"/>
      <c r="F239" s="19"/>
      <c r="G239" s="11"/>
      <c r="M239" s="21"/>
    </row>
    <row r="240" ht="15.75" customHeight="1">
      <c r="D240" s="19"/>
      <c r="E240" s="20"/>
      <c r="F240" s="19"/>
      <c r="G240" s="11"/>
      <c r="M240" s="21"/>
    </row>
    <row r="241" ht="15.75" customHeight="1">
      <c r="D241" s="19"/>
      <c r="E241" s="20"/>
      <c r="F241" s="19"/>
      <c r="G241" s="11"/>
      <c r="M241" s="21"/>
    </row>
    <row r="242" ht="15.75" customHeight="1">
      <c r="D242" s="19"/>
      <c r="E242" s="20"/>
      <c r="F242" s="19"/>
      <c r="G242" s="11"/>
      <c r="M242" s="21"/>
    </row>
    <row r="243" ht="15.75" customHeight="1">
      <c r="D243" s="19"/>
      <c r="E243" s="20"/>
      <c r="F243" s="19"/>
      <c r="G243" s="11"/>
      <c r="M243" s="21"/>
    </row>
    <row r="244" ht="15.75" customHeight="1">
      <c r="D244" s="19"/>
      <c r="E244" s="20"/>
      <c r="F244" s="19"/>
      <c r="G244" s="11"/>
      <c r="M244" s="21"/>
    </row>
    <row r="245" ht="15.75" customHeight="1">
      <c r="D245" s="19"/>
      <c r="E245" s="20"/>
      <c r="F245" s="19"/>
      <c r="G245" s="11"/>
      <c r="M245" s="21"/>
    </row>
    <row r="246" ht="15.75" customHeight="1">
      <c r="D246" s="19"/>
      <c r="E246" s="20"/>
      <c r="F246" s="19"/>
      <c r="G246" s="11"/>
      <c r="M246" s="21"/>
    </row>
    <row r="247" ht="15.75" customHeight="1">
      <c r="D247" s="19"/>
      <c r="E247" s="20"/>
      <c r="F247" s="19"/>
      <c r="G247" s="11"/>
      <c r="M247" s="21"/>
    </row>
    <row r="248" ht="15.75" customHeight="1">
      <c r="D248" s="19"/>
      <c r="E248" s="20"/>
      <c r="F248" s="19"/>
      <c r="G248" s="11"/>
      <c r="M248" s="21"/>
    </row>
    <row r="249" ht="15.75" customHeight="1">
      <c r="D249" s="19"/>
      <c r="E249" s="20"/>
      <c r="F249" s="19"/>
      <c r="G249" s="11"/>
      <c r="M249" s="21"/>
    </row>
    <row r="250" ht="15.75" customHeight="1">
      <c r="D250" s="19"/>
      <c r="E250" s="20"/>
      <c r="F250" s="19"/>
      <c r="G250" s="11"/>
      <c r="M250" s="21"/>
    </row>
    <row r="251" ht="15.75" customHeight="1">
      <c r="D251" s="19"/>
      <c r="E251" s="20"/>
      <c r="F251" s="19"/>
      <c r="G251" s="11"/>
      <c r="M251" s="21"/>
    </row>
    <row r="252" ht="15.75" customHeight="1">
      <c r="D252" s="19"/>
      <c r="E252" s="20"/>
      <c r="F252" s="19"/>
      <c r="G252" s="11"/>
      <c r="M252" s="21"/>
    </row>
    <row r="253" ht="15.75" customHeight="1">
      <c r="D253" s="19"/>
      <c r="E253" s="20"/>
      <c r="F253" s="19"/>
      <c r="G253" s="11"/>
      <c r="M253" s="21"/>
    </row>
    <row r="254" ht="15.75" customHeight="1">
      <c r="D254" s="19"/>
      <c r="E254" s="20"/>
      <c r="F254" s="19"/>
      <c r="G254" s="11"/>
      <c r="M254" s="21"/>
    </row>
    <row r="255" ht="15.75" customHeight="1">
      <c r="D255" s="19"/>
      <c r="E255" s="20"/>
      <c r="F255" s="19"/>
      <c r="G255" s="11"/>
      <c r="M255" s="21"/>
    </row>
    <row r="256" ht="15.75" customHeight="1">
      <c r="D256" s="19"/>
      <c r="E256" s="20"/>
      <c r="F256" s="19"/>
      <c r="G256" s="11"/>
      <c r="M256" s="21"/>
    </row>
    <row r="257" ht="15.75" customHeight="1">
      <c r="D257" s="19"/>
      <c r="E257" s="20"/>
      <c r="F257" s="19"/>
      <c r="G257" s="11"/>
      <c r="M257" s="21"/>
    </row>
    <row r="258" ht="15.75" customHeight="1">
      <c r="D258" s="19"/>
      <c r="E258" s="20"/>
      <c r="F258" s="19"/>
      <c r="G258" s="11"/>
      <c r="M258" s="21"/>
    </row>
    <row r="259" ht="15.75" customHeight="1">
      <c r="D259" s="19"/>
      <c r="E259" s="20"/>
      <c r="F259" s="19"/>
      <c r="G259" s="11"/>
      <c r="M259" s="21"/>
    </row>
    <row r="260" ht="15.75" customHeight="1">
      <c r="D260" s="19"/>
      <c r="E260" s="20"/>
      <c r="F260" s="19"/>
      <c r="G260" s="11"/>
      <c r="M260" s="21"/>
    </row>
    <row r="261" ht="15.75" customHeight="1">
      <c r="D261" s="19"/>
      <c r="E261" s="20"/>
      <c r="F261" s="19"/>
      <c r="G261" s="11"/>
      <c r="M261" s="21"/>
    </row>
    <row r="262" ht="15.75" customHeight="1">
      <c r="D262" s="19"/>
      <c r="E262" s="20"/>
      <c r="F262" s="19"/>
      <c r="G262" s="11"/>
      <c r="M262" s="21"/>
    </row>
    <row r="263" ht="15.75" customHeight="1">
      <c r="D263" s="19"/>
      <c r="E263" s="20"/>
      <c r="F263" s="19"/>
      <c r="G263" s="11"/>
      <c r="M263" s="21"/>
    </row>
    <row r="264" ht="15.75" customHeight="1">
      <c r="D264" s="19"/>
      <c r="E264" s="20"/>
      <c r="F264" s="19"/>
      <c r="G264" s="11"/>
      <c r="M264" s="21"/>
    </row>
    <row r="265" ht="15.75" customHeight="1">
      <c r="D265" s="19"/>
      <c r="E265" s="20"/>
      <c r="F265" s="19"/>
      <c r="G265" s="11"/>
      <c r="M265" s="21"/>
    </row>
    <row r="266" ht="15.75" customHeight="1">
      <c r="D266" s="19"/>
      <c r="E266" s="20"/>
      <c r="F266" s="19"/>
      <c r="G266" s="11"/>
      <c r="M266" s="21"/>
    </row>
    <row r="267" ht="15.75" customHeight="1">
      <c r="D267" s="19"/>
      <c r="E267" s="20"/>
      <c r="F267" s="19"/>
      <c r="G267" s="11"/>
      <c r="M267" s="21"/>
    </row>
    <row r="268" ht="15.75" customHeight="1">
      <c r="D268" s="19"/>
      <c r="E268" s="20"/>
      <c r="F268" s="19"/>
      <c r="G268" s="11"/>
      <c r="M268" s="21"/>
    </row>
    <row r="269" ht="15.75" customHeight="1">
      <c r="D269" s="19"/>
      <c r="E269" s="20"/>
      <c r="F269" s="19"/>
      <c r="G269" s="11"/>
      <c r="M269" s="21"/>
    </row>
    <row r="270" ht="15.75" customHeight="1">
      <c r="D270" s="19"/>
      <c r="E270" s="20"/>
      <c r="F270" s="19"/>
      <c r="G270" s="11"/>
      <c r="M270" s="21"/>
    </row>
    <row r="271" ht="15.75" customHeight="1">
      <c r="D271" s="19"/>
      <c r="E271" s="20"/>
      <c r="F271" s="19"/>
      <c r="G271" s="11"/>
      <c r="M271" s="21"/>
    </row>
    <row r="272" ht="15.75" customHeight="1">
      <c r="D272" s="19"/>
      <c r="E272" s="20"/>
      <c r="F272" s="19"/>
      <c r="G272" s="11"/>
      <c r="M272" s="21"/>
    </row>
    <row r="273" ht="15.75" customHeight="1">
      <c r="D273" s="19"/>
      <c r="E273" s="20"/>
      <c r="F273" s="19"/>
      <c r="G273" s="11"/>
      <c r="M273" s="21"/>
    </row>
    <row r="274" ht="15.75" customHeight="1">
      <c r="D274" s="19"/>
      <c r="E274" s="20"/>
      <c r="F274" s="19"/>
      <c r="G274" s="11"/>
      <c r="M274" s="21"/>
    </row>
    <row r="275" ht="15.75" customHeight="1">
      <c r="D275" s="19"/>
      <c r="E275" s="20"/>
      <c r="F275" s="19"/>
      <c r="G275" s="11"/>
      <c r="M275" s="21"/>
    </row>
    <row r="276" ht="15.75" customHeight="1">
      <c r="D276" s="19"/>
      <c r="E276" s="20"/>
      <c r="F276" s="19"/>
      <c r="G276" s="11"/>
      <c r="M276" s="21"/>
    </row>
    <row r="277" ht="15.75" customHeight="1">
      <c r="D277" s="19"/>
      <c r="E277" s="20"/>
      <c r="F277" s="19"/>
      <c r="G277" s="11"/>
      <c r="M277" s="21"/>
    </row>
    <row r="278" ht="15.75" customHeight="1">
      <c r="D278" s="19"/>
      <c r="E278" s="20"/>
      <c r="F278" s="19"/>
      <c r="G278" s="11"/>
      <c r="M278" s="21"/>
    </row>
    <row r="279" ht="15.75" customHeight="1">
      <c r="D279" s="19"/>
      <c r="E279" s="20"/>
      <c r="F279" s="19"/>
      <c r="G279" s="11"/>
      <c r="M279" s="21"/>
    </row>
    <row r="280" ht="15.75" customHeight="1">
      <c r="D280" s="19"/>
      <c r="E280" s="20"/>
      <c r="F280" s="19"/>
      <c r="G280" s="11"/>
      <c r="M280" s="21"/>
    </row>
    <row r="281" ht="15.75" customHeight="1">
      <c r="D281" s="19"/>
      <c r="E281" s="20"/>
      <c r="F281" s="19"/>
      <c r="G281" s="11"/>
      <c r="M281" s="21"/>
    </row>
    <row r="282" ht="15.75" customHeight="1">
      <c r="D282" s="19"/>
      <c r="E282" s="20"/>
      <c r="F282" s="19"/>
      <c r="G282" s="11"/>
      <c r="M282" s="21"/>
    </row>
    <row r="283" ht="15.75" customHeight="1">
      <c r="D283" s="19"/>
      <c r="E283" s="20"/>
      <c r="F283" s="19"/>
      <c r="G283" s="11"/>
      <c r="M283" s="21"/>
    </row>
    <row r="284" ht="15.75" customHeight="1">
      <c r="D284" s="19"/>
      <c r="E284" s="20"/>
      <c r="F284" s="19"/>
      <c r="G284" s="11"/>
      <c r="M284" s="21"/>
    </row>
    <row r="285" ht="15.75" customHeight="1">
      <c r="D285" s="19"/>
      <c r="E285" s="20"/>
      <c r="F285" s="19"/>
      <c r="G285" s="11"/>
      <c r="M285" s="21"/>
    </row>
    <row r="286" ht="15.75" customHeight="1">
      <c r="D286" s="19"/>
      <c r="E286" s="20"/>
      <c r="F286" s="19"/>
      <c r="G286" s="11"/>
      <c r="M286" s="21"/>
    </row>
    <row r="287" ht="15.75" customHeight="1">
      <c r="D287" s="19"/>
      <c r="E287" s="20"/>
      <c r="F287" s="19"/>
      <c r="G287" s="11"/>
      <c r="M287" s="21"/>
    </row>
    <row r="288" ht="15.75" customHeight="1">
      <c r="D288" s="19"/>
      <c r="E288" s="20"/>
      <c r="F288" s="19"/>
      <c r="G288" s="11"/>
      <c r="M288" s="21"/>
    </row>
    <row r="289" ht="15.75" customHeight="1">
      <c r="D289" s="19"/>
      <c r="E289" s="20"/>
      <c r="F289" s="19"/>
      <c r="G289" s="11"/>
      <c r="M289" s="21"/>
    </row>
    <row r="290" ht="15.75" customHeight="1">
      <c r="D290" s="19"/>
      <c r="E290" s="20"/>
      <c r="F290" s="19"/>
      <c r="G290" s="11"/>
      <c r="M290" s="21"/>
    </row>
    <row r="291" ht="15.75" customHeight="1">
      <c r="D291" s="19"/>
      <c r="E291" s="20"/>
      <c r="F291" s="19"/>
      <c r="G291" s="11"/>
      <c r="M291" s="21"/>
    </row>
    <row r="292" ht="15.75" customHeight="1">
      <c r="D292" s="19"/>
      <c r="E292" s="20"/>
      <c r="F292" s="19"/>
      <c r="G292" s="11"/>
      <c r="M292" s="21"/>
    </row>
    <row r="293" ht="15.75" customHeight="1">
      <c r="D293" s="19"/>
      <c r="E293" s="20"/>
      <c r="F293" s="19"/>
      <c r="G293" s="11"/>
      <c r="M293" s="21"/>
    </row>
    <row r="294" ht="15.75" customHeight="1">
      <c r="D294" s="19"/>
      <c r="E294" s="20"/>
      <c r="F294" s="19"/>
      <c r="G294" s="11"/>
      <c r="M294" s="21"/>
    </row>
    <row r="295" ht="15.75" customHeight="1">
      <c r="D295" s="19"/>
      <c r="E295" s="20"/>
      <c r="F295" s="19"/>
      <c r="G295" s="11"/>
      <c r="M295" s="21"/>
    </row>
    <row r="296" ht="15.75" customHeight="1">
      <c r="D296" s="19"/>
      <c r="E296" s="20"/>
      <c r="F296" s="19"/>
      <c r="G296" s="11"/>
      <c r="M296" s="21"/>
    </row>
    <row r="297" ht="15.75" customHeight="1">
      <c r="D297" s="19"/>
      <c r="E297" s="20"/>
      <c r="F297" s="19"/>
      <c r="G297" s="11"/>
      <c r="M297" s="21"/>
    </row>
    <row r="298" ht="15.75" customHeight="1">
      <c r="D298" s="19"/>
      <c r="E298" s="20"/>
      <c r="F298" s="19"/>
      <c r="G298" s="11"/>
      <c r="M298" s="21"/>
    </row>
    <row r="299" ht="15.75" customHeight="1">
      <c r="D299" s="19"/>
      <c r="E299" s="20"/>
      <c r="F299" s="19"/>
      <c r="G299" s="11"/>
      <c r="M299" s="21"/>
    </row>
    <row r="300" ht="15.75" customHeight="1">
      <c r="D300" s="19"/>
      <c r="E300" s="20"/>
      <c r="F300" s="19"/>
      <c r="G300" s="11"/>
      <c r="M300" s="21"/>
    </row>
    <row r="301" ht="15.75" customHeight="1">
      <c r="D301" s="19"/>
      <c r="E301" s="20"/>
      <c r="F301" s="19"/>
      <c r="G301" s="11"/>
      <c r="M301" s="21"/>
    </row>
    <row r="302" ht="15.75" customHeight="1">
      <c r="D302" s="19"/>
      <c r="E302" s="20"/>
      <c r="F302" s="19"/>
      <c r="G302" s="11"/>
      <c r="M302" s="21"/>
    </row>
    <row r="303" ht="15.75" customHeight="1">
      <c r="D303" s="19"/>
      <c r="E303" s="20"/>
      <c r="F303" s="19"/>
      <c r="G303" s="11"/>
      <c r="M303" s="21"/>
    </row>
    <row r="304" ht="15.75" customHeight="1">
      <c r="D304" s="19"/>
      <c r="E304" s="20"/>
      <c r="F304" s="19"/>
      <c r="G304" s="11"/>
      <c r="M304" s="21"/>
    </row>
    <row r="305" ht="15.75" customHeight="1">
      <c r="D305" s="19"/>
      <c r="E305" s="20"/>
      <c r="F305" s="19"/>
      <c r="G305" s="11"/>
      <c r="M305" s="21"/>
    </row>
    <row r="306" ht="15.75" customHeight="1">
      <c r="D306" s="19"/>
      <c r="E306" s="20"/>
      <c r="F306" s="19"/>
      <c r="G306" s="11"/>
      <c r="M306" s="21"/>
    </row>
    <row r="307" ht="15.75" customHeight="1">
      <c r="D307" s="19"/>
      <c r="E307" s="20"/>
      <c r="F307" s="19"/>
      <c r="G307" s="11"/>
      <c r="M307" s="21"/>
    </row>
    <row r="308" ht="15.75" customHeight="1">
      <c r="D308" s="19"/>
      <c r="E308" s="20"/>
      <c r="F308" s="19"/>
      <c r="G308" s="11"/>
      <c r="M308" s="21"/>
    </row>
    <row r="309" ht="15.75" customHeight="1">
      <c r="D309" s="19"/>
      <c r="E309" s="20"/>
      <c r="F309" s="19"/>
      <c r="G309" s="11"/>
      <c r="M309" s="21"/>
    </row>
    <row r="310" ht="15.75" customHeight="1">
      <c r="D310" s="19"/>
      <c r="E310" s="20"/>
      <c r="F310" s="19"/>
      <c r="G310" s="11"/>
      <c r="M310" s="21"/>
    </row>
    <row r="311" ht="15.75" customHeight="1">
      <c r="D311" s="19"/>
      <c r="E311" s="20"/>
      <c r="F311" s="19"/>
      <c r="G311" s="11"/>
      <c r="M311" s="21"/>
    </row>
    <row r="312" ht="15.75" customHeight="1">
      <c r="D312" s="19"/>
      <c r="E312" s="20"/>
      <c r="F312" s="19"/>
      <c r="G312" s="11"/>
      <c r="M312" s="21"/>
    </row>
    <row r="313" ht="15.75" customHeight="1">
      <c r="D313" s="19"/>
      <c r="E313" s="20"/>
      <c r="F313" s="19"/>
      <c r="G313" s="11"/>
      <c r="M313" s="21"/>
    </row>
    <row r="314" ht="15.75" customHeight="1">
      <c r="D314" s="19"/>
      <c r="E314" s="20"/>
      <c r="F314" s="19"/>
      <c r="G314" s="11"/>
      <c r="M314" s="21"/>
    </row>
    <row r="315" ht="15.75" customHeight="1">
      <c r="D315" s="19"/>
      <c r="E315" s="20"/>
      <c r="F315" s="19"/>
      <c r="G315" s="11"/>
      <c r="M315" s="21"/>
    </row>
    <row r="316" ht="15.75" customHeight="1">
      <c r="D316" s="19"/>
      <c r="E316" s="20"/>
      <c r="F316" s="19"/>
      <c r="G316" s="11"/>
      <c r="M316" s="21"/>
    </row>
    <row r="317" ht="15.75" customHeight="1">
      <c r="D317" s="19"/>
      <c r="E317" s="20"/>
      <c r="F317" s="19"/>
      <c r="G317" s="11"/>
      <c r="M317" s="21"/>
    </row>
    <row r="318" ht="15.75" customHeight="1">
      <c r="D318" s="19"/>
      <c r="E318" s="20"/>
      <c r="F318" s="19"/>
      <c r="G318" s="11"/>
      <c r="M318" s="21"/>
    </row>
    <row r="319" ht="15.75" customHeight="1">
      <c r="D319" s="19"/>
      <c r="E319" s="20"/>
      <c r="F319" s="19"/>
      <c r="G319" s="11"/>
      <c r="M319" s="21"/>
    </row>
    <row r="320" ht="15.75" customHeight="1">
      <c r="D320" s="19"/>
      <c r="E320" s="20"/>
      <c r="F320" s="19"/>
      <c r="G320" s="11"/>
      <c r="M320" s="21"/>
    </row>
    <row r="321" ht="15.75" customHeight="1">
      <c r="D321" s="19"/>
      <c r="E321" s="20"/>
      <c r="F321" s="19"/>
      <c r="G321" s="11"/>
      <c r="M321" s="21"/>
    </row>
    <row r="322" ht="15.75" customHeight="1">
      <c r="D322" s="19"/>
      <c r="E322" s="20"/>
      <c r="F322" s="19"/>
      <c r="G322" s="11"/>
      <c r="M322" s="21"/>
    </row>
    <row r="323" ht="15.75" customHeight="1">
      <c r="D323" s="19"/>
      <c r="E323" s="20"/>
      <c r="F323" s="19"/>
      <c r="G323" s="11"/>
      <c r="M323" s="21"/>
    </row>
    <row r="324" ht="15.75" customHeight="1">
      <c r="D324" s="19"/>
      <c r="E324" s="20"/>
      <c r="F324" s="19"/>
      <c r="G324" s="11"/>
      <c r="M324" s="21"/>
    </row>
    <row r="325" ht="15.75" customHeight="1">
      <c r="D325" s="19"/>
      <c r="E325" s="20"/>
      <c r="F325" s="19"/>
      <c r="G325" s="11"/>
      <c r="M325" s="21"/>
    </row>
    <row r="326" ht="15.75" customHeight="1">
      <c r="D326" s="19"/>
      <c r="E326" s="20"/>
      <c r="F326" s="19"/>
      <c r="G326" s="11"/>
      <c r="M326" s="21"/>
    </row>
    <row r="327" ht="15.75" customHeight="1">
      <c r="D327" s="19"/>
      <c r="E327" s="20"/>
      <c r="F327" s="19"/>
      <c r="G327" s="11"/>
      <c r="M327" s="21"/>
    </row>
    <row r="328" ht="15.75" customHeight="1">
      <c r="D328" s="19"/>
      <c r="E328" s="20"/>
      <c r="F328" s="19"/>
      <c r="G328" s="11"/>
      <c r="M328" s="21"/>
    </row>
    <row r="329" ht="15.75" customHeight="1">
      <c r="D329" s="19"/>
      <c r="E329" s="20"/>
      <c r="F329" s="19"/>
      <c r="G329" s="11"/>
      <c r="M329" s="21"/>
    </row>
    <row r="330" ht="15.75" customHeight="1">
      <c r="D330" s="19"/>
      <c r="E330" s="20"/>
      <c r="F330" s="19"/>
      <c r="G330" s="11"/>
      <c r="M330" s="21"/>
    </row>
    <row r="331" ht="15.75" customHeight="1">
      <c r="D331" s="19"/>
      <c r="E331" s="20"/>
      <c r="F331" s="19"/>
      <c r="G331" s="11"/>
      <c r="M331" s="21"/>
    </row>
    <row r="332" ht="15.75" customHeight="1">
      <c r="D332" s="19"/>
      <c r="E332" s="20"/>
      <c r="F332" s="19"/>
      <c r="G332" s="11"/>
      <c r="M332" s="21"/>
    </row>
    <row r="333" ht="15.75" customHeight="1">
      <c r="D333" s="19"/>
      <c r="E333" s="20"/>
      <c r="F333" s="19"/>
      <c r="G333" s="11"/>
      <c r="M333" s="21"/>
    </row>
    <row r="334" ht="15.75" customHeight="1">
      <c r="D334" s="19"/>
      <c r="E334" s="20"/>
      <c r="F334" s="19"/>
      <c r="G334" s="11"/>
      <c r="M334" s="21"/>
    </row>
    <row r="335" ht="15.75" customHeight="1">
      <c r="D335" s="19"/>
      <c r="E335" s="20"/>
      <c r="F335" s="19"/>
      <c r="G335" s="11"/>
      <c r="M335" s="21"/>
    </row>
    <row r="336" ht="15.75" customHeight="1">
      <c r="D336" s="19"/>
      <c r="E336" s="20"/>
      <c r="F336" s="19"/>
      <c r="G336" s="11"/>
      <c r="M336" s="21"/>
    </row>
    <row r="337" ht="15.75" customHeight="1">
      <c r="D337" s="19"/>
      <c r="E337" s="20"/>
      <c r="F337" s="19"/>
      <c r="G337" s="11"/>
      <c r="M337" s="21"/>
    </row>
    <row r="338" ht="15.75" customHeight="1">
      <c r="D338" s="19"/>
      <c r="E338" s="20"/>
      <c r="F338" s="19"/>
      <c r="G338" s="11"/>
      <c r="M338" s="21"/>
    </row>
    <row r="339" ht="15.75" customHeight="1">
      <c r="D339" s="19"/>
      <c r="E339" s="20"/>
      <c r="F339" s="19"/>
      <c r="G339" s="11"/>
      <c r="M339" s="21"/>
    </row>
    <row r="340" ht="15.75" customHeight="1">
      <c r="D340" s="19"/>
      <c r="E340" s="20"/>
      <c r="F340" s="19"/>
      <c r="G340" s="11"/>
      <c r="M340" s="21"/>
    </row>
    <row r="341" ht="15.75" customHeight="1">
      <c r="D341" s="19"/>
      <c r="E341" s="20"/>
      <c r="F341" s="19"/>
      <c r="G341" s="11"/>
      <c r="M341" s="21"/>
    </row>
    <row r="342" ht="15.75" customHeight="1">
      <c r="D342" s="19"/>
      <c r="E342" s="20"/>
      <c r="F342" s="19"/>
      <c r="G342" s="11"/>
      <c r="M342" s="21"/>
    </row>
    <row r="343" ht="15.75" customHeight="1">
      <c r="D343" s="19"/>
      <c r="E343" s="20"/>
      <c r="F343" s="19"/>
      <c r="G343" s="11"/>
      <c r="M343" s="21"/>
    </row>
    <row r="344" ht="15.75" customHeight="1">
      <c r="D344" s="19"/>
      <c r="E344" s="20"/>
      <c r="F344" s="19"/>
      <c r="G344" s="11"/>
      <c r="M344" s="21"/>
    </row>
    <row r="345" ht="15.75" customHeight="1">
      <c r="D345" s="19"/>
      <c r="E345" s="20"/>
      <c r="F345" s="19"/>
      <c r="G345" s="11"/>
      <c r="M345" s="21"/>
    </row>
    <row r="346" ht="15.75" customHeight="1">
      <c r="D346" s="19"/>
      <c r="E346" s="20"/>
      <c r="F346" s="19"/>
      <c r="G346" s="11"/>
      <c r="M346" s="21"/>
    </row>
    <row r="347" ht="15.75" customHeight="1">
      <c r="D347" s="19"/>
      <c r="E347" s="20"/>
      <c r="F347" s="19"/>
      <c r="G347" s="11"/>
      <c r="M347" s="21"/>
    </row>
    <row r="348" ht="15.75" customHeight="1">
      <c r="D348" s="19"/>
      <c r="E348" s="20"/>
      <c r="F348" s="19"/>
      <c r="G348" s="11"/>
      <c r="M348" s="21"/>
    </row>
    <row r="349" ht="15.75" customHeight="1">
      <c r="D349" s="19"/>
      <c r="E349" s="20"/>
      <c r="F349" s="19"/>
      <c r="G349" s="11"/>
      <c r="M349" s="21"/>
    </row>
    <row r="350" ht="15.75" customHeight="1">
      <c r="D350" s="19"/>
      <c r="E350" s="20"/>
      <c r="F350" s="19"/>
      <c r="G350" s="11"/>
      <c r="M350" s="21"/>
    </row>
    <row r="351" ht="15.75" customHeight="1">
      <c r="D351" s="19"/>
      <c r="E351" s="20"/>
      <c r="F351" s="19"/>
      <c r="G351" s="11"/>
      <c r="M351" s="21"/>
    </row>
    <row r="352" ht="15.75" customHeight="1">
      <c r="D352" s="19"/>
      <c r="E352" s="20"/>
      <c r="F352" s="19"/>
      <c r="G352" s="11"/>
      <c r="M352" s="21"/>
    </row>
    <row r="353" ht="15.75" customHeight="1">
      <c r="D353" s="19"/>
      <c r="E353" s="20"/>
      <c r="F353" s="19"/>
      <c r="G353" s="11"/>
      <c r="M353" s="21"/>
    </row>
    <row r="354" ht="15.75" customHeight="1">
      <c r="D354" s="19"/>
      <c r="E354" s="20"/>
      <c r="F354" s="19"/>
      <c r="G354" s="11"/>
      <c r="M354" s="21"/>
    </row>
    <row r="355" ht="15.75" customHeight="1">
      <c r="D355" s="19"/>
      <c r="E355" s="20"/>
      <c r="F355" s="19"/>
      <c r="G355" s="11"/>
      <c r="M355" s="21"/>
    </row>
    <row r="356" ht="15.75" customHeight="1">
      <c r="D356" s="19"/>
      <c r="E356" s="20"/>
      <c r="F356" s="19"/>
      <c r="G356" s="11"/>
      <c r="M356" s="21"/>
    </row>
    <row r="357" ht="15.75" customHeight="1">
      <c r="D357" s="19"/>
      <c r="E357" s="20"/>
      <c r="F357" s="19"/>
      <c r="G357" s="11"/>
      <c r="M357" s="21"/>
    </row>
    <row r="358" ht="15.75" customHeight="1">
      <c r="D358" s="19"/>
      <c r="E358" s="20"/>
      <c r="F358" s="19"/>
      <c r="G358" s="11"/>
      <c r="M358" s="21"/>
    </row>
    <row r="359" ht="15.75" customHeight="1">
      <c r="D359" s="19"/>
      <c r="E359" s="20"/>
      <c r="F359" s="19"/>
      <c r="G359" s="11"/>
      <c r="M359" s="21"/>
    </row>
    <row r="360" ht="15.75" customHeight="1">
      <c r="D360" s="19"/>
      <c r="E360" s="20"/>
      <c r="F360" s="19"/>
      <c r="G360" s="11"/>
      <c r="M360" s="21"/>
    </row>
    <row r="361" ht="15.75" customHeight="1">
      <c r="D361" s="19"/>
      <c r="E361" s="20"/>
      <c r="F361" s="19"/>
      <c r="G361" s="11"/>
      <c r="M361" s="21"/>
    </row>
    <row r="362" ht="15.75" customHeight="1">
      <c r="D362" s="19"/>
      <c r="E362" s="20"/>
      <c r="F362" s="19"/>
      <c r="G362" s="11"/>
      <c r="M362" s="21"/>
    </row>
    <row r="363" ht="15.75" customHeight="1">
      <c r="D363" s="19"/>
      <c r="E363" s="20"/>
      <c r="F363" s="19"/>
      <c r="G363" s="11"/>
      <c r="M363" s="21"/>
    </row>
    <row r="364" ht="15.75" customHeight="1">
      <c r="D364" s="19"/>
      <c r="E364" s="20"/>
      <c r="F364" s="19"/>
      <c r="G364" s="11"/>
      <c r="M364" s="21"/>
    </row>
    <row r="365" ht="15.75" customHeight="1">
      <c r="D365" s="19"/>
      <c r="E365" s="20"/>
      <c r="F365" s="19"/>
      <c r="G365" s="11"/>
      <c r="M365" s="21"/>
    </row>
    <row r="366" ht="15.75" customHeight="1">
      <c r="D366" s="19"/>
      <c r="E366" s="20"/>
      <c r="F366" s="19"/>
      <c r="G366" s="11"/>
      <c r="M366" s="21"/>
    </row>
    <row r="367" ht="15.75" customHeight="1">
      <c r="D367" s="19"/>
      <c r="E367" s="20"/>
      <c r="F367" s="19"/>
      <c r="G367" s="11"/>
      <c r="M367" s="21"/>
    </row>
    <row r="368" ht="15.75" customHeight="1">
      <c r="D368" s="19"/>
      <c r="E368" s="20"/>
      <c r="F368" s="19"/>
      <c r="G368" s="11"/>
      <c r="M368" s="21"/>
    </row>
    <row r="369" ht="15.75" customHeight="1">
      <c r="D369" s="19"/>
      <c r="E369" s="20"/>
      <c r="F369" s="19"/>
      <c r="G369" s="11"/>
      <c r="M369" s="21"/>
    </row>
    <row r="370" ht="15.75" customHeight="1">
      <c r="D370" s="19"/>
      <c r="E370" s="20"/>
      <c r="F370" s="19"/>
      <c r="G370" s="11"/>
      <c r="M370" s="21"/>
    </row>
    <row r="371" ht="15.75" customHeight="1">
      <c r="D371" s="19"/>
      <c r="E371" s="20"/>
      <c r="F371" s="19"/>
      <c r="G371" s="11"/>
      <c r="M371" s="21"/>
    </row>
    <row r="372" ht="15.75" customHeight="1">
      <c r="D372" s="19"/>
      <c r="E372" s="20"/>
      <c r="F372" s="19"/>
      <c r="G372" s="11"/>
      <c r="M372" s="21"/>
    </row>
    <row r="373" ht="15.75" customHeight="1">
      <c r="D373" s="19"/>
      <c r="E373" s="20"/>
      <c r="F373" s="19"/>
      <c r="G373" s="11"/>
      <c r="M373" s="21"/>
    </row>
    <row r="374" ht="15.75" customHeight="1">
      <c r="D374" s="19"/>
      <c r="E374" s="20"/>
      <c r="F374" s="19"/>
      <c r="G374" s="11"/>
      <c r="M374" s="21"/>
    </row>
    <row r="375" ht="15.75" customHeight="1">
      <c r="D375" s="19"/>
      <c r="E375" s="20"/>
      <c r="F375" s="19"/>
      <c r="G375" s="11"/>
      <c r="M375" s="21"/>
    </row>
    <row r="376" ht="15.75" customHeight="1">
      <c r="D376" s="19"/>
      <c r="E376" s="20"/>
      <c r="F376" s="19"/>
      <c r="G376" s="11"/>
      <c r="M376" s="21"/>
    </row>
    <row r="377" ht="15.75" customHeight="1">
      <c r="D377" s="19"/>
      <c r="E377" s="20"/>
      <c r="F377" s="19"/>
      <c r="G377" s="11"/>
      <c r="M377" s="21"/>
    </row>
    <row r="378" ht="15.75" customHeight="1">
      <c r="D378" s="19"/>
      <c r="E378" s="20"/>
      <c r="F378" s="19"/>
      <c r="G378" s="11"/>
      <c r="M378" s="21"/>
    </row>
    <row r="379" ht="15.75" customHeight="1">
      <c r="D379" s="19"/>
      <c r="E379" s="20"/>
      <c r="F379" s="19"/>
      <c r="G379" s="11"/>
      <c r="M379" s="21"/>
    </row>
    <row r="380" ht="15.75" customHeight="1">
      <c r="D380" s="19"/>
      <c r="E380" s="20"/>
      <c r="F380" s="19"/>
      <c r="G380" s="11"/>
      <c r="M380" s="21"/>
    </row>
    <row r="381" ht="15.75" customHeight="1">
      <c r="D381" s="19"/>
      <c r="E381" s="20"/>
      <c r="F381" s="19"/>
      <c r="G381" s="11"/>
      <c r="M381" s="21"/>
    </row>
    <row r="382" ht="15.75" customHeight="1">
      <c r="D382" s="19"/>
      <c r="E382" s="20"/>
      <c r="F382" s="19"/>
      <c r="G382" s="11"/>
      <c r="M382" s="21"/>
    </row>
    <row r="383" ht="15.75" customHeight="1">
      <c r="D383" s="19"/>
      <c r="E383" s="20"/>
      <c r="F383" s="19"/>
      <c r="G383" s="11"/>
      <c r="M383" s="21"/>
    </row>
    <row r="384" ht="15.75" customHeight="1">
      <c r="D384" s="19"/>
      <c r="E384" s="20"/>
      <c r="F384" s="19"/>
      <c r="G384" s="11"/>
      <c r="M384" s="21"/>
    </row>
    <row r="385" ht="15.75" customHeight="1">
      <c r="D385" s="19"/>
      <c r="E385" s="20"/>
      <c r="F385" s="19"/>
      <c r="G385" s="11"/>
      <c r="M385" s="21"/>
    </row>
    <row r="386" ht="15.75" customHeight="1">
      <c r="D386" s="19"/>
      <c r="E386" s="20"/>
      <c r="F386" s="19"/>
      <c r="G386" s="11"/>
      <c r="M386" s="21"/>
    </row>
    <row r="387" ht="15.75" customHeight="1">
      <c r="D387" s="19"/>
      <c r="E387" s="20"/>
      <c r="F387" s="19"/>
      <c r="G387" s="11"/>
      <c r="M387" s="21"/>
    </row>
    <row r="388" ht="15.75" customHeight="1">
      <c r="D388" s="19"/>
      <c r="E388" s="20"/>
      <c r="F388" s="19"/>
      <c r="G388" s="11"/>
      <c r="M388" s="21"/>
    </row>
    <row r="389" ht="15.75" customHeight="1">
      <c r="D389" s="19"/>
      <c r="E389" s="20"/>
      <c r="F389" s="19"/>
      <c r="G389" s="11"/>
      <c r="M389" s="21"/>
    </row>
    <row r="390" ht="15.75" customHeight="1">
      <c r="D390" s="19"/>
      <c r="E390" s="20"/>
      <c r="F390" s="19"/>
      <c r="G390" s="11"/>
      <c r="M390" s="21"/>
    </row>
    <row r="391" ht="15.75" customHeight="1">
      <c r="D391" s="19"/>
      <c r="E391" s="20"/>
      <c r="F391" s="19"/>
      <c r="G391" s="11"/>
      <c r="M391" s="21"/>
    </row>
    <row r="392" ht="15.75" customHeight="1">
      <c r="D392" s="19"/>
      <c r="E392" s="20"/>
      <c r="F392" s="19"/>
      <c r="G392" s="11"/>
      <c r="M392" s="21"/>
    </row>
    <row r="393" ht="15.75" customHeight="1">
      <c r="D393" s="19"/>
      <c r="E393" s="20"/>
      <c r="F393" s="19"/>
      <c r="G393" s="11"/>
      <c r="M393" s="21"/>
    </row>
    <row r="394" ht="15.75" customHeight="1">
      <c r="D394" s="19"/>
      <c r="E394" s="20"/>
      <c r="F394" s="19"/>
      <c r="G394" s="11"/>
      <c r="M394" s="21"/>
    </row>
    <row r="395" ht="15.75" customHeight="1">
      <c r="D395" s="19"/>
      <c r="E395" s="20"/>
      <c r="F395" s="19"/>
      <c r="G395" s="11"/>
      <c r="M395" s="21"/>
    </row>
    <row r="396" ht="15.75" customHeight="1">
      <c r="D396" s="19"/>
      <c r="E396" s="20"/>
      <c r="F396" s="19"/>
      <c r="G396" s="11"/>
      <c r="M396" s="21"/>
    </row>
    <row r="397" ht="15.75" customHeight="1">
      <c r="D397" s="19"/>
      <c r="E397" s="20"/>
      <c r="F397" s="19"/>
      <c r="G397" s="11"/>
      <c r="M397" s="21"/>
    </row>
    <row r="398" ht="15.75" customHeight="1">
      <c r="D398" s="19"/>
      <c r="E398" s="20"/>
      <c r="F398" s="19"/>
      <c r="G398" s="11"/>
      <c r="M398" s="21"/>
    </row>
    <row r="399" ht="15.75" customHeight="1">
      <c r="D399" s="19"/>
      <c r="E399" s="20"/>
      <c r="F399" s="19"/>
      <c r="G399" s="11"/>
      <c r="M399" s="21"/>
    </row>
    <row r="400" ht="15.75" customHeight="1">
      <c r="D400" s="19"/>
      <c r="E400" s="20"/>
      <c r="F400" s="19"/>
      <c r="G400" s="11"/>
      <c r="M400" s="21"/>
    </row>
    <row r="401" ht="15.75" customHeight="1">
      <c r="D401" s="19"/>
      <c r="E401" s="20"/>
      <c r="F401" s="19"/>
      <c r="G401" s="11"/>
      <c r="M401" s="21"/>
    </row>
    <row r="402" ht="15.75" customHeight="1">
      <c r="D402" s="19"/>
      <c r="E402" s="20"/>
      <c r="F402" s="19"/>
      <c r="G402" s="11"/>
      <c r="M402" s="21"/>
    </row>
    <row r="403" ht="15.75" customHeight="1">
      <c r="D403" s="19"/>
      <c r="E403" s="20"/>
      <c r="F403" s="19"/>
      <c r="G403" s="11"/>
      <c r="M403" s="21"/>
    </row>
    <row r="404" ht="15.75" customHeight="1">
      <c r="D404" s="19"/>
      <c r="E404" s="20"/>
      <c r="F404" s="19"/>
      <c r="G404" s="11"/>
      <c r="M404" s="21"/>
    </row>
    <row r="405" ht="15.75" customHeight="1">
      <c r="D405" s="19"/>
      <c r="E405" s="20"/>
      <c r="F405" s="19"/>
      <c r="G405" s="11"/>
      <c r="M405" s="21"/>
    </row>
    <row r="406" ht="15.75" customHeight="1">
      <c r="D406" s="19"/>
      <c r="E406" s="20"/>
      <c r="F406" s="19"/>
      <c r="G406" s="11"/>
      <c r="M406" s="21"/>
    </row>
    <row r="407" ht="15.75" customHeight="1">
      <c r="D407" s="19"/>
      <c r="E407" s="20"/>
      <c r="F407" s="19"/>
      <c r="G407" s="11"/>
      <c r="M407" s="21"/>
    </row>
    <row r="408" ht="15.75" customHeight="1">
      <c r="D408" s="19"/>
      <c r="E408" s="20"/>
      <c r="F408" s="19"/>
      <c r="G408" s="11"/>
      <c r="M408" s="21"/>
    </row>
    <row r="409" ht="15.75" customHeight="1">
      <c r="D409" s="19"/>
      <c r="E409" s="20"/>
      <c r="F409" s="19"/>
      <c r="G409" s="11"/>
      <c r="M409" s="21"/>
    </row>
    <row r="410" ht="15.75" customHeight="1">
      <c r="D410" s="19"/>
      <c r="E410" s="20"/>
      <c r="F410" s="19"/>
      <c r="G410" s="11"/>
      <c r="M410" s="21"/>
    </row>
    <row r="411" ht="15.75" customHeight="1">
      <c r="D411" s="19"/>
      <c r="E411" s="20"/>
      <c r="F411" s="19"/>
      <c r="G411" s="11"/>
      <c r="M411" s="21"/>
    </row>
    <row r="412" ht="15.75" customHeight="1">
      <c r="D412" s="19"/>
      <c r="E412" s="20"/>
      <c r="F412" s="19"/>
      <c r="G412" s="11"/>
      <c r="M412" s="21"/>
    </row>
    <row r="413" ht="15.75" customHeight="1">
      <c r="D413" s="19"/>
      <c r="E413" s="20"/>
      <c r="F413" s="19"/>
      <c r="G413" s="11"/>
      <c r="M413" s="21"/>
    </row>
    <row r="414" ht="15.75" customHeight="1">
      <c r="D414" s="19"/>
      <c r="E414" s="20"/>
      <c r="F414" s="19"/>
      <c r="G414" s="11"/>
      <c r="M414" s="21"/>
    </row>
    <row r="415" ht="15.75" customHeight="1">
      <c r="D415" s="19"/>
      <c r="E415" s="20"/>
      <c r="F415" s="19"/>
      <c r="G415" s="11"/>
      <c r="M415" s="21"/>
    </row>
    <row r="416" ht="15.75" customHeight="1">
      <c r="D416" s="19"/>
      <c r="E416" s="20"/>
      <c r="F416" s="19"/>
      <c r="G416" s="11"/>
      <c r="M416" s="21"/>
    </row>
    <row r="417" ht="15.75" customHeight="1">
      <c r="D417" s="19"/>
      <c r="E417" s="20"/>
      <c r="F417" s="19"/>
      <c r="G417" s="11"/>
      <c r="M417" s="21"/>
    </row>
    <row r="418" ht="15.75" customHeight="1">
      <c r="D418" s="19"/>
      <c r="E418" s="20"/>
      <c r="F418" s="19"/>
      <c r="G418" s="11"/>
      <c r="M418" s="21"/>
    </row>
    <row r="419" ht="15.75" customHeight="1">
      <c r="D419" s="19"/>
      <c r="E419" s="20"/>
      <c r="F419" s="19"/>
      <c r="G419" s="11"/>
      <c r="M419" s="21"/>
    </row>
    <row r="420" ht="15.75" customHeight="1">
      <c r="D420" s="19"/>
      <c r="E420" s="20"/>
      <c r="F420" s="19"/>
      <c r="G420" s="11"/>
      <c r="M420" s="21"/>
    </row>
    <row r="421" ht="15.75" customHeight="1">
      <c r="D421" s="19"/>
      <c r="E421" s="20"/>
      <c r="F421" s="19"/>
      <c r="G421" s="11"/>
      <c r="M421" s="21"/>
    </row>
    <row r="422" ht="15.75" customHeight="1">
      <c r="D422" s="19"/>
      <c r="E422" s="20"/>
      <c r="F422" s="19"/>
      <c r="G422" s="11"/>
      <c r="M422" s="21"/>
    </row>
    <row r="423" ht="15.75" customHeight="1">
      <c r="D423" s="19"/>
      <c r="E423" s="20"/>
      <c r="F423" s="19"/>
      <c r="G423" s="11"/>
      <c r="M423" s="21"/>
    </row>
    <row r="424" ht="15.75" customHeight="1">
      <c r="D424" s="19"/>
      <c r="E424" s="20"/>
      <c r="F424" s="19"/>
      <c r="G424" s="11"/>
      <c r="M424" s="21"/>
    </row>
    <row r="425" ht="15.75" customHeight="1">
      <c r="D425" s="19"/>
      <c r="E425" s="20"/>
      <c r="F425" s="19"/>
      <c r="G425" s="11"/>
      <c r="M425" s="21"/>
    </row>
    <row r="426" ht="15.75" customHeight="1">
      <c r="D426" s="19"/>
      <c r="E426" s="20"/>
      <c r="F426" s="19"/>
      <c r="G426" s="11"/>
      <c r="M426" s="21"/>
    </row>
    <row r="427" ht="15.75" customHeight="1">
      <c r="D427" s="19"/>
      <c r="E427" s="20"/>
      <c r="F427" s="19"/>
      <c r="G427" s="11"/>
      <c r="M427" s="21"/>
    </row>
    <row r="428" ht="15.75" customHeight="1">
      <c r="D428" s="19"/>
      <c r="E428" s="20"/>
      <c r="F428" s="19"/>
      <c r="G428" s="11"/>
      <c r="M428" s="21"/>
    </row>
    <row r="429" ht="15.75" customHeight="1">
      <c r="D429" s="19"/>
      <c r="E429" s="20"/>
      <c r="F429" s="19"/>
      <c r="G429" s="11"/>
      <c r="M429" s="21"/>
    </row>
    <row r="430" ht="15.75" customHeight="1">
      <c r="D430" s="19"/>
      <c r="E430" s="20"/>
      <c r="F430" s="19"/>
      <c r="G430" s="11"/>
      <c r="M430" s="21"/>
    </row>
    <row r="431" ht="15.75" customHeight="1">
      <c r="D431" s="19"/>
      <c r="E431" s="20"/>
      <c r="F431" s="19"/>
      <c r="G431" s="11"/>
      <c r="M431" s="21"/>
    </row>
    <row r="432" ht="15.75" customHeight="1">
      <c r="D432" s="19"/>
      <c r="E432" s="20"/>
      <c r="F432" s="19"/>
      <c r="G432" s="11"/>
      <c r="M432" s="21"/>
    </row>
    <row r="433" ht="15.75" customHeight="1">
      <c r="D433" s="19"/>
      <c r="E433" s="20"/>
      <c r="F433" s="19"/>
      <c r="G433" s="11"/>
      <c r="M433" s="21"/>
    </row>
    <row r="434" ht="15.75" customHeight="1">
      <c r="D434" s="19"/>
      <c r="E434" s="20"/>
      <c r="F434" s="19"/>
      <c r="G434" s="11"/>
      <c r="M434" s="21"/>
    </row>
    <row r="435" ht="15.75" customHeight="1">
      <c r="D435" s="19"/>
      <c r="E435" s="20"/>
      <c r="F435" s="19"/>
      <c r="G435" s="11"/>
      <c r="M435" s="21"/>
    </row>
    <row r="436" ht="15.75" customHeight="1">
      <c r="D436" s="19"/>
      <c r="E436" s="20"/>
      <c r="F436" s="19"/>
      <c r="G436" s="11"/>
      <c r="M436" s="21"/>
    </row>
    <row r="437" ht="15.75" customHeight="1">
      <c r="D437" s="19"/>
      <c r="E437" s="20"/>
      <c r="F437" s="19"/>
      <c r="G437" s="11"/>
      <c r="M437" s="21"/>
    </row>
    <row r="438" ht="15.75" customHeight="1">
      <c r="D438" s="19"/>
      <c r="E438" s="20"/>
      <c r="F438" s="19"/>
      <c r="G438" s="11"/>
      <c r="M438" s="21"/>
    </row>
    <row r="439" ht="15.75" customHeight="1">
      <c r="D439" s="19"/>
      <c r="E439" s="20"/>
      <c r="F439" s="19"/>
      <c r="G439" s="11"/>
      <c r="M439" s="21"/>
    </row>
    <row r="440" ht="15.75" customHeight="1">
      <c r="D440" s="19"/>
      <c r="E440" s="20"/>
      <c r="F440" s="19"/>
      <c r="G440" s="11"/>
      <c r="M440" s="21"/>
    </row>
    <row r="441" ht="15.75" customHeight="1">
      <c r="D441" s="19"/>
      <c r="E441" s="20"/>
      <c r="F441" s="19"/>
      <c r="G441" s="11"/>
      <c r="M441" s="21"/>
    </row>
    <row r="442" ht="15.75" customHeight="1">
      <c r="D442" s="19"/>
      <c r="E442" s="20"/>
      <c r="F442" s="19"/>
      <c r="G442" s="11"/>
      <c r="M442" s="21"/>
    </row>
    <row r="443" ht="15.75" customHeight="1">
      <c r="D443" s="19"/>
      <c r="E443" s="20"/>
      <c r="F443" s="19"/>
      <c r="G443" s="11"/>
      <c r="M443" s="21"/>
    </row>
    <row r="444" ht="15.75" customHeight="1">
      <c r="D444" s="19"/>
      <c r="E444" s="20"/>
      <c r="F444" s="19"/>
      <c r="G444" s="11"/>
      <c r="M444" s="21"/>
    </row>
    <row r="445" ht="15.75" customHeight="1">
      <c r="D445" s="19"/>
      <c r="E445" s="20"/>
      <c r="F445" s="19"/>
      <c r="G445" s="11"/>
      <c r="M445" s="21"/>
    </row>
    <row r="446" ht="15.75" customHeight="1">
      <c r="D446" s="19"/>
      <c r="E446" s="20"/>
      <c r="F446" s="19"/>
      <c r="G446" s="11"/>
      <c r="M446" s="21"/>
    </row>
    <row r="447" ht="15.75" customHeight="1">
      <c r="D447" s="19"/>
      <c r="E447" s="20"/>
      <c r="F447" s="19"/>
      <c r="G447" s="11"/>
      <c r="M447" s="21"/>
    </row>
    <row r="448" ht="15.75" customHeight="1">
      <c r="D448" s="19"/>
      <c r="E448" s="20"/>
      <c r="F448" s="19"/>
      <c r="G448" s="11"/>
      <c r="M448" s="21"/>
    </row>
    <row r="449" ht="15.75" customHeight="1">
      <c r="D449" s="19"/>
      <c r="E449" s="20"/>
      <c r="F449" s="19"/>
      <c r="G449" s="11"/>
      <c r="M449" s="21"/>
    </row>
    <row r="450" ht="15.75" customHeight="1">
      <c r="D450" s="19"/>
      <c r="E450" s="20"/>
      <c r="F450" s="19"/>
      <c r="G450" s="11"/>
      <c r="M450" s="21"/>
    </row>
    <row r="451" ht="15.75" customHeight="1">
      <c r="D451" s="19"/>
      <c r="E451" s="20"/>
      <c r="F451" s="19"/>
      <c r="G451" s="11"/>
      <c r="M451" s="21"/>
    </row>
    <row r="452" ht="15.75" customHeight="1">
      <c r="D452" s="19"/>
      <c r="E452" s="20"/>
      <c r="F452" s="19"/>
      <c r="G452" s="11"/>
      <c r="M452" s="21"/>
    </row>
    <row r="453" ht="15.75" customHeight="1">
      <c r="D453" s="19"/>
      <c r="E453" s="20"/>
      <c r="F453" s="19"/>
      <c r="G453" s="11"/>
      <c r="M453" s="21"/>
    </row>
    <row r="454" ht="15.75" customHeight="1">
      <c r="D454" s="19"/>
      <c r="E454" s="20"/>
      <c r="F454" s="19"/>
      <c r="G454" s="11"/>
      <c r="M454" s="21"/>
    </row>
    <row r="455" ht="15.75" customHeight="1">
      <c r="D455" s="19"/>
      <c r="E455" s="20"/>
      <c r="F455" s="19"/>
      <c r="G455" s="11"/>
      <c r="M455" s="21"/>
    </row>
    <row r="456" ht="15.75" customHeight="1">
      <c r="D456" s="19"/>
      <c r="E456" s="20"/>
      <c r="F456" s="19"/>
      <c r="G456" s="11"/>
      <c r="M456" s="21"/>
    </row>
    <row r="457" ht="15.75" customHeight="1">
      <c r="D457" s="19"/>
      <c r="E457" s="20"/>
      <c r="F457" s="19"/>
      <c r="G457" s="11"/>
      <c r="M457" s="21"/>
    </row>
    <row r="458" ht="15.75" customHeight="1">
      <c r="D458" s="19"/>
      <c r="E458" s="20"/>
      <c r="F458" s="19"/>
      <c r="G458" s="11"/>
      <c r="M458" s="21"/>
    </row>
    <row r="459" ht="15.75" customHeight="1">
      <c r="D459" s="19"/>
      <c r="E459" s="20"/>
      <c r="F459" s="19"/>
      <c r="G459" s="11"/>
      <c r="M459" s="21"/>
    </row>
    <row r="460" ht="15.75" customHeight="1">
      <c r="D460" s="19"/>
      <c r="E460" s="20"/>
      <c r="F460" s="19"/>
      <c r="G460" s="11"/>
      <c r="M460" s="21"/>
    </row>
    <row r="461" ht="15.75" customHeight="1">
      <c r="D461" s="19"/>
      <c r="E461" s="20"/>
      <c r="F461" s="19"/>
      <c r="G461" s="11"/>
      <c r="M461" s="21"/>
    </row>
    <row r="462" ht="15.75" customHeight="1">
      <c r="D462" s="19"/>
      <c r="E462" s="20"/>
      <c r="F462" s="19"/>
      <c r="G462" s="11"/>
      <c r="M462" s="21"/>
    </row>
    <row r="463" ht="15.75" customHeight="1">
      <c r="D463" s="19"/>
      <c r="E463" s="20"/>
      <c r="F463" s="19"/>
      <c r="G463" s="11"/>
      <c r="M463" s="21"/>
    </row>
    <row r="464" ht="15.75" customHeight="1">
      <c r="D464" s="19"/>
      <c r="E464" s="20"/>
      <c r="F464" s="19"/>
      <c r="G464" s="11"/>
      <c r="M464" s="21"/>
    </row>
    <row r="465" ht="15.75" customHeight="1">
      <c r="D465" s="19"/>
      <c r="E465" s="20"/>
      <c r="F465" s="19"/>
      <c r="G465" s="11"/>
      <c r="M465" s="21"/>
    </row>
    <row r="466" ht="15.75" customHeight="1">
      <c r="D466" s="19"/>
      <c r="E466" s="20"/>
      <c r="F466" s="19"/>
      <c r="G466" s="11"/>
      <c r="M466" s="21"/>
    </row>
    <row r="467" ht="15.75" customHeight="1">
      <c r="D467" s="19"/>
      <c r="E467" s="20"/>
      <c r="F467" s="19"/>
      <c r="G467" s="11"/>
      <c r="M467" s="21"/>
    </row>
    <row r="468" ht="15.75" customHeight="1">
      <c r="D468" s="19"/>
      <c r="E468" s="20"/>
      <c r="F468" s="19"/>
      <c r="G468" s="11"/>
      <c r="M468" s="21"/>
    </row>
    <row r="469" ht="15.75" customHeight="1">
      <c r="D469" s="19"/>
      <c r="E469" s="20"/>
      <c r="F469" s="19"/>
      <c r="G469" s="11"/>
      <c r="M469" s="21"/>
    </row>
    <row r="470" ht="15.75" customHeight="1">
      <c r="D470" s="19"/>
      <c r="E470" s="20"/>
      <c r="F470" s="19"/>
      <c r="G470" s="11"/>
      <c r="M470" s="21"/>
    </row>
    <row r="471" ht="15.75" customHeight="1">
      <c r="D471" s="19"/>
      <c r="E471" s="20"/>
      <c r="F471" s="19"/>
      <c r="G471" s="11"/>
      <c r="M471" s="21"/>
    </row>
    <row r="472" ht="15.75" customHeight="1">
      <c r="D472" s="19"/>
      <c r="E472" s="20"/>
      <c r="F472" s="19"/>
      <c r="G472" s="11"/>
      <c r="M472" s="21"/>
    </row>
    <row r="473" ht="15.75" customHeight="1">
      <c r="D473" s="19"/>
      <c r="E473" s="20"/>
      <c r="F473" s="19"/>
      <c r="G473" s="11"/>
      <c r="M473" s="21"/>
    </row>
    <row r="474" ht="15.75" customHeight="1">
      <c r="D474" s="19"/>
      <c r="E474" s="20"/>
      <c r="F474" s="19"/>
      <c r="G474" s="11"/>
      <c r="M474" s="21"/>
    </row>
    <row r="475" ht="15.75" customHeight="1">
      <c r="D475" s="19"/>
      <c r="E475" s="20"/>
      <c r="F475" s="19"/>
      <c r="G475" s="11"/>
      <c r="M475" s="21"/>
    </row>
    <row r="476" ht="15.75" customHeight="1">
      <c r="D476" s="19"/>
      <c r="E476" s="20"/>
      <c r="F476" s="19"/>
      <c r="G476" s="11"/>
      <c r="M476" s="21"/>
    </row>
    <row r="477" ht="15.75" customHeight="1">
      <c r="D477" s="19"/>
      <c r="E477" s="20"/>
      <c r="F477" s="19"/>
      <c r="G477" s="11"/>
      <c r="M477" s="21"/>
    </row>
    <row r="478" ht="15.75" customHeight="1">
      <c r="D478" s="19"/>
      <c r="E478" s="20"/>
      <c r="F478" s="19"/>
      <c r="G478" s="11"/>
      <c r="M478" s="21"/>
    </row>
    <row r="479" ht="15.75" customHeight="1">
      <c r="D479" s="19"/>
      <c r="E479" s="20"/>
      <c r="F479" s="19"/>
      <c r="G479" s="11"/>
      <c r="M479" s="21"/>
    </row>
    <row r="480" ht="15.75" customHeight="1">
      <c r="D480" s="19"/>
      <c r="E480" s="20"/>
      <c r="F480" s="19"/>
      <c r="G480" s="11"/>
      <c r="M480" s="21"/>
    </row>
    <row r="481" ht="15.75" customHeight="1">
      <c r="D481" s="19"/>
      <c r="E481" s="20"/>
      <c r="F481" s="19"/>
      <c r="G481" s="11"/>
      <c r="M481" s="21"/>
    </row>
    <row r="482" ht="15.75" customHeight="1">
      <c r="D482" s="19"/>
      <c r="E482" s="20"/>
      <c r="F482" s="19"/>
      <c r="G482" s="11"/>
      <c r="M482" s="21"/>
    </row>
    <row r="483" ht="15.75" customHeight="1">
      <c r="D483" s="19"/>
      <c r="E483" s="20"/>
      <c r="F483" s="19"/>
      <c r="G483" s="11"/>
      <c r="M483" s="21"/>
    </row>
    <row r="484" ht="15.75" customHeight="1">
      <c r="D484" s="19"/>
      <c r="E484" s="20"/>
      <c r="F484" s="19"/>
      <c r="G484" s="11"/>
      <c r="M484" s="21"/>
    </row>
    <row r="485" ht="15.75" customHeight="1">
      <c r="D485" s="19"/>
      <c r="E485" s="20"/>
      <c r="F485" s="19"/>
      <c r="G485" s="11"/>
      <c r="M485" s="21"/>
    </row>
    <row r="486" ht="15.75" customHeight="1">
      <c r="D486" s="19"/>
      <c r="E486" s="20"/>
      <c r="F486" s="19"/>
      <c r="G486" s="11"/>
      <c r="M486" s="21"/>
    </row>
    <row r="487" ht="15.75" customHeight="1">
      <c r="D487" s="19"/>
      <c r="E487" s="20"/>
      <c r="F487" s="19"/>
      <c r="G487" s="11"/>
      <c r="M487" s="21"/>
    </row>
    <row r="488" ht="15.75" customHeight="1">
      <c r="D488" s="19"/>
      <c r="E488" s="20"/>
      <c r="F488" s="19"/>
      <c r="G488" s="11"/>
      <c r="M488" s="21"/>
    </row>
    <row r="489" ht="15.75" customHeight="1">
      <c r="D489" s="19"/>
      <c r="E489" s="20"/>
      <c r="F489" s="19"/>
      <c r="G489" s="11"/>
      <c r="M489" s="21"/>
    </row>
    <row r="490" ht="15.75" customHeight="1">
      <c r="D490" s="19"/>
      <c r="E490" s="20"/>
      <c r="F490" s="19"/>
      <c r="G490" s="11"/>
      <c r="M490" s="21"/>
    </row>
    <row r="491" ht="15.75" customHeight="1">
      <c r="D491" s="19"/>
      <c r="E491" s="20"/>
      <c r="F491" s="19"/>
      <c r="G491" s="11"/>
      <c r="M491" s="21"/>
    </row>
    <row r="492" ht="15.75" customHeight="1">
      <c r="D492" s="19"/>
      <c r="E492" s="20"/>
      <c r="F492" s="19"/>
      <c r="G492" s="11"/>
      <c r="M492" s="21"/>
    </row>
    <row r="493" ht="15.75" customHeight="1">
      <c r="D493" s="19"/>
      <c r="E493" s="20"/>
      <c r="F493" s="19"/>
      <c r="G493" s="11"/>
      <c r="M493" s="21"/>
    </row>
    <row r="494" ht="15.75" customHeight="1">
      <c r="D494" s="19"/>
      <c r="E494" s="20"/>
      <c r="F494" s="19"/>
      <c r="G494" s="11"/>
      <c r="M494" s="21"/>
    </row>
    <row r="495" ht="15.75" customHeight="1">
      <c r="D495" s="19"/>
      <c r="E495" s="20"/>
      <c r="F495" s="19"/>
      <c r="G495" s="11"/>
      <c r="M495" s="21"/>
    </row>
    <row r="496" ht="15.75" customHeight="1">
      <c r="D496" s="19"/>
      <c r="E496" s="20"/>
      <c r="F496" s="19"/>
      <c r="G496" s="11"/>
      <c r="M496" s="21"/>
    </row>
    <row r="497" ht="15.75" customHeight="1">
      <c r="D497" s="19"/>
      <c r="E497" s="20"/>
      <c r="F497" s="19"/>
      <c r="G497" s="11"/>
      <c r="M497" s="21"/>
    </row>
    <row r="498" ht="15.75" customHeight="1">
      <c r="D498" s="19"/>
      <c r="E498" s="20"/>
      <c r="F498" s="19"/>
      <c r="G498" s="11"/>
      <c r="M498" s="21"/>
    </row>
    <row r="499" ht="15.75" customHeight="1">
      <c r="D499" s="19"/>
      <c r="E499" s="20"/>
      <c r="F499" s="19"/>
      <c r="G499" s="11"/>
      <c r="M499" s="21"/>
    </row>
    <row r="500" ht="15.75" customHeight="1">
      <c r="D500" s="19"/>
      <c r="E500" s="20"/>
      <c r="F500" s="19"/>
      <c r="G500" s="11"/>
      <c r="M500" s="21"/>
    </row>
    <row r="501" ht="15.75" customHeight="1">
      <c r="D501" s="19"/>
      <c r="E501" s="20"/>
      <c r="F501" s="19"/>
      <c r="G501" s="11"/>
      <c r="M501" s="21"/>
    </row>
    <row r="502" ht="15.75" customHeight="1">
      <c r="D502" s="19"/>
      <c r="E502" s="20"/>
      <c r="F502" s="19"/>
      <c r="G502" s="11"/>
      <c r="M502" s="21"/>
    </row>
    <row r="503" ht="15.75" customHeight="1">
      <c r="D503" s="19"/>
      <c r="E503" s="20"/>
      <c r="F503" s="19"/>
      <c r="G503" s="11"/>
      <c r="M503" s="21"/>
    </row>
    <row r="504" ht="15.75" customHeight="1">
      <c r="D504" s="19"/>
      <c r="E504" s="20"/>
      <c r="F504" s="19"/>
      <c r="G504" s="11"/>
      <c r="M504" s="21"/>
    </row>
    <row r="505" ht="15.75" customHeight="1">
      <c r="D505" s="19"/>
      <c r="E505" s="20"/>
      <c r="F505" s="19"/>
      <c r="G505" s="11"/>
      <c r="M505" s="21"/>
    </row>
    <row r="506" ht="15.75" customHeight="1">
      <c r="D506" s="19"/>
      <c r="E506" s="20"/>
      <c r="F506" s="19"/>
      <c r="G506" s="11"/>
      <c r="M506" s="21"/>
    </row>
    <row r="507" ht="15.75" customHeight="1">
      <c r="D507" s="19"/>
      <c r="E507" s="20"/>
      <c r="F507" s="19"/>
      <c r="G507" s="11"/>
      <c r="M507" s="21"/>
    </row>
    <row r="508" ht="15.75" customHeight="1">
      <c r="D508" s="19"/>
      <c r="E508" s="20"/>
      <c r="F508" s="19"/>
      <c r="G508" s="11"/>
      <c r="M508" s="21"/>
    </row>
    <row r="509" ht="15.75" customHeight="1">
      <c r="D509" s="19"/>
      <c r="E509" s="20"/>
      <c r="F509" s="19"/>
      <c r="G509" s="11"/>
      <c r="M509" s="21"/>
    </row>
    <row r="510" ht="15.75" customHeight="1">
      <c r="D510" s="19"/>
      <c r="E510" s="20"/>
      <c r="F510" s="19"/>
      <c r="G510" s="11"/>
      <c r="M510" s="21"/>
    </row>
    <row r="511" ht="15.75" customHeight="1">
      <c r="D511" s="19"/>
      <c r="E511" s="20"/>
      <c r="F511" s="19"/>
      <c r="G511" s="11"/>
      <c r="M511" s="21"/>
    </row>
    <row r="512" ht="15.75" customHeight="1">
      <c r="D512" s="19"/>
      <c r="E512" s="20"/>
      <c r="F512" s="19"/>
      <c r="G512" s="11"/>
      <c r="M512" s="21"/>
    </row>
    <row r="513" ht="15.75" customHeight="1">
      <c r="D513" s="19"/>
      <c r="E513" s="20"/>
      <c r="F513" s="19"/>
      <c r="G513" s="11"/>
      <c r="M513" s="21"/>
    </row>
    <row r="514" ht="15.75" customHeight="1">
      <c r="D514" s="19"/>
      <c r="E514" s="20"/>
      <c r="F514" s="19"/>
      <c r="G514" s="11"/>
      <c r="M514" s="21"/>
    </row>
    <row r="515" ht="15.75" customHeight="1">
      <c r="D515" s="19"/>
      <c r="E515" s="20"/>
      <c r="F515" s="19"/>
      <c r="G515" s="11"/>
      <c r="M515" s="21"/>
    </row>
    <row r="516" ht="15.75" customHeight="1">
      <c r="D516" s="19"/>
      <c r="E516" s="20"/>
      <c r="F516" s="19"/>
      <c r="G516" s="11"/>
      <c r="M516" s="21"/>
    </row>
    <row r="517" ht="15.75" customHeight="1">
      <c r="D517" s="19"/>
      <c r="E517" s="20"/>
      <c r="F517" s="19"/>
      <c r="G517" s="11"/>
      <c r="M517" s="21"/>
    </row>
    <row r="518" ht="15.75" customHeight="1">
      <c r="D518" s="19"/>
      <c r="E518" s="20"/>
      <c r="F518" s="19"/>
      <c r="G518" s="11"/>
      <c r="M518" s="21"/>
    </row>
    <row r="519" ht="15.75" customHeight="1">
      <c r="D519" s="19"/>
      <c r="E519" s="20"/>
      <c r="F519" s="19"/>
      <c r="G519" s="11"/>
      <c r="M519" s="21"/>
    </row>
    <row r="520" ht="15.75" customHeight="1">
      <c r="D520" s="19"/>
      <c r="E520" s="20"/>
      <c r="F520" s="19"/>
      <c r="G520" s="11"/>
      <c r="M520" s="21"/>
    </row>
    <row r="521" ht="15.75" customHeight="1">
      <c r="D521" s="19"/>
      <c r="E521" s="20"/>
      <c r="F521" s="19"/>
      <c r="G521" s="11"/>
      <c r="M521" s="21"/>
    </row>
    <row r="522" ht="15.75" customHeight="1">
      <c r="D522" s="19"/>
      <c r="E522" s="20"/>
      <c r="F522" s="19"/>
      <c r="G522" s="11"/>
      <c r="M522" s="21"/>
    </row>
    <row r="523" ht="15.75" customHeight="1">
      <c r="D523" s="19"/>
      <c r="E523" s="20"/>
      <c r="F523" s="19"/>
      <c r="G523" s="11"/>
      <c r="M523" s="21"/>
    </row>
    <row r="524" ht="15.75" customHeight="1">
      <c r="D524" s="19"/>
      <c r="E524" s="20"/>
      <c r="F524" s="19"/>
      <c r="G524" s="11"/>
      <c r="M524" s="21"/>
    </row>
    <row r="525" ht="15.75" customHeight="1">
      <c r="D525" s="19"/>
      <c r="E525" s="20"/>
      <c r="F525" s="19"/>
      <c r="G525" s="11"/>
      <c r="M525" s="21"/>
    </row>
    <row r="526" ht="15.75" customHeight="1">
      <c r="D526" s="19"/>
      <c r="E526" s="20"/>
      <c r="F526" s="19"/>
      <c r="G526" s="11"/>
      <c r="M526" s="21"/>
    </row>
    <row r="527" ht="15.75" customHeight="1">
      <c r="D527" s="19"/>
      <c r="E527" s="20"/>
      <c r="F527" s="19"/>
      <c r="G527" s="11"/>
      <c r="M527" s="21"/>
    </row>
    <row r="528" ht="15.75" customHeight="1">
      <c r="D528" s="19"/>
      <c r="E528" s="20"/>
      <c r="F528" s="19"/>
      <c r="G528" s="11"/>
      <c r="M528" s="21"/>
    </row>
    <row r="529" ht="15.75" customHeight="1">
      <c r="D529" s="19"/>
      <c r="E529" s="20"/>
      <c r="F529" s="19"/>
      <c r="G529" s="11"/>
      <c r="M529" s="21"/>
    </row>
    <row r="530" ht="15.75" customHeight="1">
      <c r="D530" s="19"/>
      <c r="E530" s="20"/>
      <c r="F530" s="19"/>
      <c r="G530" s="11"/>
      <c r="M530" s="21"/>
    </row>
    <row r="531" ht="15.75" customHeight="1">
      <c r="D531" s="19"/>
      <c r="E531" s="20"/>
      <c r="F531" s="19"/>
      <c r="G531" s="11"/>
      <c r="M531" s="21"/>
    </row>
    <row r="532" ht="15.75" customHeight="1">
      <c r="D532" s="19"/>
      <c r="E532" s="20"/>
      <c r="F532" s="19"/>
      <c r="G532" s="11"/>
      <c r="M532" s="21"/>
    </row>
    <row r="533" ht="15.75" customHeight="1">
      <c r="D533" s="19"/>
      <c r="E533" s="20"/>
      <c r="F533" s="19"/>
      <c r="G533" s="11"/>
      <c r="M533" s="21"/>
    </row>
    <row r="534" ht="15.75" customHeight="1">
      <c r="D534" s="19"/>
      <c r="E534" s="20"/>
      <c r="F534" s="19"/>
      <c r="G534" s="11"/>
      <c r="M534" s="21"/>
    </row>
    <row r="535" ht="15.75" customHeight="1">
      <c r="D535" s="19"/>
      <c r="E535" s="20"/>
      <c r="F535" s="19"/>
      <c r="G535" s="11"/>
      <c r="M535" s="21"/>
    </row>
    <row r="536" ht="15.75" customHeight="1">
      <c r="D536" s="19"/>
      <c r="E536" s="20"/>
      <c r="F536" s="19"/>
      <c r="G536" s="11"/>
      <c r="M536" s="21"/>
    </row>
    <row r="537" ht="15.75" customHeight="1">
      <c r="D537" s="19"/>
      <c r="E537" s="20"/>
      <c r="F537" s="19"/>
      <c r="G537" s="11"/>
      <c r="M537" s="21"/>
    </row>
    <row r="538" ht="15.75" customHeight="1">
      <c r="D538" s="19"/>
      <c r="E538" s="20"/>
      <c r="F538" s="19"/>
      <c r="G538" s="11"/>
      <c r="M538" s="21"/>
    </row>
    <row r="539" ht="15.75" customHeight="1">
      <c r="D539" s="19"/>
      <c r="E539" s="20"/>
      <c r="F539" s="19"/>
      <c r="G539" s="11"/>
      <c r="M539" s="21"/>
    </row>
    <row r="540" ht="15.75" customHeight="1">
      <c r="D540" s="19"/>
      <c r="E540" s="20"/>
      <c r="F540" s="19"/>
      <c r="G540" s="11"/>
      <c r="M540" s="21"/>
    </row>
    <row r="541" ht="15.75" customHeight="1">
      <c r="D541" s="19"/>
      <c r="E541" s="20"/>
      <c r="F541" s="19"/>
      <c r="G541" s="11"/>
      <c r="M541" s="21"/>
    </row>
    <row r="542" ht="15.75" customHeight="1">
      <c r="D542" s="19"/>
      <c r="E542" s="20"/>
      <c r="F542" s="19"/>
      <c r="G542" s="11"/>
      <c r="M542" s="21"/>
    </row>
    <row r="543" ht="15.75" customHeight="1">
      <c r="D543" s="19"/>
      <c r="E543" s="20"/>
      <c r="F543" s="19"/>
      <c r="G543" s="11"/>
      <c r="M543" s="21"/>
    </row>
    <row r="544" ht="15.75" customHeight="1">
      <c r="D544" s="19"/>
      <c r="E544" s="20"/>
      <c r="F544" s="19"/>
      <c r="G544" s="11"/>
      <c r="M544" s="21"/>
    </row>
    <row r="545" ht="15.75" customHeight="1">
      <c r="D545" s="19"/>
      <c r="E545" s="20"/>
      <c r="F545" s="19"/>
      <c r="G545" s="11"/>
      <c r="M545" s="21"/>
    </row>
    <row r="546" ht="15.75" customHeight="1">
      <c r="D546" s="19"/>
      <c r="E546" s="20"/>
      <c r="F546" s="19"/>
      <c r="G546" s="11"/>
      <c r="M546" s="21"/>
    </row>
    <row r="547" ht="15.75" customHeight="1">
      <c r="D547" s="19"/>
      <c r="E547" s="20"/>
      <c r="F547" s="19"/>
      <c r="G547" s="11"/>
      <c r="M547" s="21"/>
    </row>
    <row r="548" ht="15.75" customHeight="1">
      <c r="D548" s="19"/>
      <c r="E548" s="20"/>
      <c r="F548" s="19"/>
      <c r="G548" s="11"/>
      <c r="M548" s="21"/>
    </row>
    <row r="549" ht="15.75" customHeight="1">
      <c r="D549" s="19"/>
      <c r="E549" s="20"/>
      <c r="F549" s="19"/>
      <c r="G549" s="11"/>
      <c r="M549" s="21"/>
    </row>
    <row r="550" ht="15.75" customHeight="1">
      <c r="D550" s="19"/>
      <c r="E550" s="20"/>
      <c r="F550" s="19"/>
      <c r="G550" s="11"/>
      <c r="M550" s="21"/>
    </row>
    <row r="551" ht="15.75" customHeight="1">
      <c r="D551" s="19"/>
      <c r="E551" s="20"/>
      <c r="F551" s="19"/>
      <c r="G551" s="11"/>
      <c r="M551" s="21"/>
    </row>
    <row r="552" ht="15.75" customHeight="1">
      <c r="D552" s="19"/>
      <c r="E552" s="20"/>
      <c r="F552" s="19"/>
      <c r="G552" s="11"/>
      <c r="M552" s="21"/>
    </row>
    <row r="553" ht="15.75" customHeight="1">
      <c r="D553" s="19"/>
      <c r="E553" s="20"/>
      <c r="F553" s="19"/>
      <c r="G553" s="11"/>
      <c r="M553" s="21"/>
    </row>
    <row r="554" ht="15.75" customHeight="1">
      <c r="D554" s="19"/>
      <c r="E554" s="20"/>
      <c r="F554" s="19"/>
      <c r="G554" s="11"/>
      <c r="M554" s="21"/>
    </row>
    <row r="555" ht="15.75" customHeight="1">
      <c r="D555" s="19"/>
      <c r="E555" s="20"/>
      <c r="F555" s="19"/>
      <c r="G555" s="11"/>
      <c r="M555" s="21"/>
    </row>
    <row r="556" ht="15.75" customHeight="1">
      <c r="D556" s="19"/>
      <c r="E556" s="20"/>
      <c r="F556" s="19"/>
      <c r="G556" s="11"/>
      <c r="M556" s="21"/>
    </row>
    <row r="557" ht="15.75" customHeight="1">
      <c r="D557" s="19"/>
      <c r="E557" s="20"/>
      <c r="F557" s="19"/>
      <c r="G557" s="11"/>
      <c r="M557" s="21"/>
    </row>
    <row r="558" ht="15.75" customHeight="1">
      <c r="D558" s="19"/>
      <c r="E558" s="20"/>
      <c r="F558" s="19"/>
      <c r="G558" s="11"/>
      <c r="M558" s="21"/>
    </row>
    <row r="559" ht="15.75" customHeight="1">
      <c r="D559" s="19"/>
      <c r="E559" s="20"/>
      <c r="F559" s="19"/>
      <c r="G559" s="11"/>
      <c r="M559" s="21"/>
    </row>
    <row r="560" ht="15.75" customHeight="1">
      <c r="D560" s="19"/>
      <c r="E560" s="20"/>
      <c r="F560" s="19"/>
      <c r="G560" s="11"/>
      <c r="M560" s="21"/>
    </row>
    <row r="561" ht="15.75" customHeight="1">
      <c r="D561" s="19"/>
      <c r="E561" s="20"/>
      <c r="F561" s="19"/>
      <c r="G561" s="11"/>
      <c r="M561" s="21"/>
    </row>
    <row r="562" ht="15.75" customHeight="1">
      <c r="D562" s="19"/>
      <c r="E562" s="20"/>
      <c r="F562" s="19"/>
      <c r="G562" s="11"/>
      <c r="M562" s="21"/>
    </row>
    <row r="563" ht="15.75" customHeight="1">
      <c r="D563" s="19"/>
      <c r="E563" s="20"/>
      <c r="F563" s="19"/>
      <c r="G563" s="11"/>
      <c r="M563" s="21"/>
    </row>
    <row r="564" ht="15.75" customHeight="1">
      <c r="D564" s="19"/>
      <c r="E564" s="20"/>
      <c r="F564" s="19"/>
      <c r="G564" s="11"/>
      <c r="M564" s="21"/>
    </row>
    <row r="565" ht="15.75" customHeight="1">
      <c r="D565" s="19"/>
      <c r="E565" s="20"/>
      <c r="F565" s="19"/>
      <c r="G565" s="11"/>
      <c r="M565" s="21"/>
    </row>
    <row r="566" ht="15.75" customHeight="1">
      <c r="D566" s="19"/>
      <c r="E566" s="20"/>
      <c r="F566" s="19"/>
      <c r="G566" s="11"/>
      <c r="M566" s="21"/>
    </row>
    <row r="567" ht="15.75" customHeight="1">
      <c r="D567" s="19"/>
      <c r="E567" s="20"/>
      <c r="F567" s="19"/>
      <c r="G567" s="11"/>
      <c r="M567" s="21"/>
    </row>
    <row r="568" ht="15.75" customHeight="1">
      <c r="D568" s="19"/>
      <c r="E568" s="20"/>
      <c r="F568" s="19"/>
      <c r="G568" s="11"/>
      <c r="M568" s="21"/>
    </row>
    <row r="569" ht="15.75" customHeight="1">
      <c r="D569" s="19"/>
      <c r="E569" s="20"/>
      <c r="F569" s="19"/>
      <c r="G569" s="11"/>
      <c r="M569" s="21"/>
    </row>
    <row r="570" ht="15.75" customHeight="1">
      <c r="D570" s="19"/>
      <c r="E570" s="20"/>
      <c r="F570" s="19"/>
      <c r="G570" s="11"/>
      <c r="M570" s="21"/>
    </row>
    <row r="571" ht="15.75" customHeight="1">
      <c r="D571" s="19"/>
      <c r="E571" s="20"/>
      <c r="F571" s="19"/>
      <c r="G571" s="11"/>
      <c r="M571" s="21"/>
    </row>
    <row r="572" ht="15.75" customHeight="1">
      <c r="D572" s="19"/>
      <c r="E572" s="20"/>
      <c r="F572" s="19"/>
      <c r="G572" s="11"/>
      <c r="M572" s="21"/>
    </row>
    <row r="573" ht="15.75" customHeight="1">
      <c r="D573" s="19"/>
      <c r="E573" s="20"/>
      <c r="F573" s="19"/>
      <c r="G573" s="11"/>
      <c r="M573" s="21"/>
    </row>
    <row r="574" ht="15.75" customHeight="1">
      <c r="D574" s="19"/>
      <c r="E574" s="20"/>
      <c r="F574" s="19"/>
      <c r="G574" s="11"/>
      <c r="M574" s="21"/>
    </row>
    <row r="575" ht="15.75" customHeight="1">
      <c r="D575" s="19"/>
      <c r="E575" s="20"/>
      <c r="F575" s="19"/>
      <c r="G575" s="11"/>
      <c r="M575" s="21"/>
    </row>
    <row r="576" ht="15.75" customHeight="1">
      <c r="D576" s="19"/>
      <c r="E576" s="20"/>
      <c r="F576" s="19"/>
      <c r="G576" s="11"/>
      <c r="M576" s="21"/>
    </row>
    <row r="577" ht="15.75" customHeight="1">
      <c r="D577" s="19"/>
      <c r="E577" s="20"/>
      <c r="F577" s="19"/>
      <c r="G577" s="11"/>
      <c r="M577" s="21"/>
    </row>
    <row r="578" ht="15.75" customHeight="1">
      <c r="D578" s="19"/>
      <c r="E578" s="20"/>
      <c r="F578" s="19"/>
      <c r="G578" s="11"/>
      <c r="M578" s="21"/>
    </row>
    <row r="579" ht="15.75" customHeight="1">
      <c r="D579" s="19"/>
      <c r="E579" s="20"/>
      <c r="F579" s="19"/>
      <c r="G579" s="11"/>
      <c r="M579" s="21"/>
    </row>
    <row r="580" ht="15.75" customHeight="1">
      <c r="D580" s="19"/>
      <c r="E580" s="20"/>
      <c r="F580" s="19"/>
      <c r="G580" s="11"/>
      <c r="M580" s="21"/>
    </row>
    <row r="581" ht="15.75" customHeight="1">
      <c r="D581" s="19"/>
      <c r="E581" s="20"/>
      <c r="F581" s="19"/>
      <c r="G581" s="11"/>
      <c r="M581" s="21"/>
    </row>
    <row r="582" ht="15.75" customHeight="1">
      <c r="D582" s="19"/>
      <c r="E582" s="20"/>
      <c r="F582" s="19"/>
      <c r="G582" s="11"/>
      <c r="M582" s="21"/>
    </row>
    <row r="583" ht="15.75" customHeight="1">
      <c r="D583" s="19"/>
      <c r="E583" s="20"/>
      <c r="F583" s="19"/>
      <c r="G583" s="11"/>
      <c r="M583" s="21"/>
    </row>
    <row r="584" ht="15.75" customHeight="1">
      <c r="D584" s="19"/>
      <c r="E584" s="20"/>
      <c r="F584" s="19"/>
      <c r="G584" s="11"/>
      <c r="M584" s="21"/>
    </row>
    <row r="585" ht="15.75" customHeight="1">
      <c r="D585" s="19"/>
      <c r="E585" s="20"/>
      <c r="F585" s="19"/>
      <c r="G585" s="11"/>
      <c r="M585" s="21"/>
    </row>
    <row r="586" ht="15.75" customHeight="1">
      <c r="D586" s="19"/>
      <c r="E586" s="20"/>
      <c r="F586" s="19"/>
      <c r="G586" s="11"/>
      <c r="M586" s="21"/>
    </row>
    <row r="587" ht="15.75" customHeight="1">
      <c r="D587" s="19"/>
      <c r="E587" s="20"/>
      <c r="F587" s="19"/>
      <c r="G587" s="11"/>
      <c r="M587" s="21"/>
    </row>
    <row r="588" ht="15.75" customHeight="1">
      <c r="D588" s="19"/>
      <c r="E588" s="20"/>
      <c r="F588" s="19"/>
      <c r="G588" s="11"/>
      <c r="M588" s="21"/>
    </row>
    <row r="589" ht="15.75" customHeight="1">
      <c r="D589" s="19"/>
      <c r="E589" s="20"/>
      <c r="F589" s="19"/>
      <c r="G589" s="11"/>
      <c r="M589" s="21"/>
    </row>
    <row r="590" ht="15.75" customHeight="1">
      <c r="D590" s="19"/>
      <c r="E590" s="20"/>
      <c r="F590" s="19"/>
      <c r="G590" s="11"/>
      <c r="M590" s="21"/>
    </row>
    <row r="591" ht="15.75" customHeight="1">
      <c r="D591" s="19"/>
      <c r="E591" s="20"/>
      <c r="F591" s="19"/>
      <c r="G591" s="11"/>
      <c r="M591" s="21"/>
    </row>
    <row r="592" ht="15.75" customHeight="1">
      <c r="D592" s="19"/>
      <c r="E592" s="20"/>
      <c r="F592" s="19"/>
      <c r="G592" s="11"/>
      <c r="M592" s="21"/>
    </row>
    <row r="593" ht="15.75" customHeight="1">
      <c r="D593" s="19"/>
      <c r="E593" s="20"/>
      <c r="F593" s="19"/>
      <c r="G593" s="11"/>
      <c r="M593" s="21"/>
    </row>
    <row r="594" ht="15.75" customHeight="1">
      <c r="D594" s="19"/>
      <c r="E594" s="20"/>
      <c r="F594" s="19"/>
      <c r="G594" s="11"/>
      <c r="M594" s="21"/>
    </row>
    <row r="595" ht="15.75" customHeight="1">
      <c r="D595" s="19"/>
      <c r="E595" s="20"/>
      <c r="F595" s="19"/>
      <c r="G595" s="11"/>
      <c r="M595" s="21"/>
    </row>
    <row r="596" ht="15.75" customHeight="1">
      <c r="D596" s="19"/>
      <c r="E596" s="20"/>
      <c r="F596" s="19"/>
      <c r="G596" s="11"/>
      <c r="M596" s="21"/>
    </row>
    <row r="597" ht="15.75" customHeight="1">
      <c r="D597" s="19"/>
      <c r="E597" s="20"/>
      <c r="F597" s="19"/>
      <c r="G597" s="11"/>
      <c r="M597" s="21"/>
    </row>
    <row r="598" ht="15.75" customHeight="1">
      <c r="D598" s="19"/>
      <c r="E598" s="20"/>
      <c r="F598" s="19"/>
      <c r="G598" s="11"/>
      <c r="M598" s="21"/>
    </row>
    <row r="599" ht="15.75" customHeight="1">
      <c r="D599" s="19"/>
      <c r="E599" s="20"/>
      <c r="F599" s="19"/>
      <c r="G599" s="11"/>
      <c r="M599" s="21"/>
    </row>
    <row r="600" ht="15.75" customHeight="1">
      <c r="D600" s="19"/>
      <c r="E600" s="20"/>
      <c r="F600" s="19"/>
      <c r="G600" s="11"/>
      <c r="M600" s="21"/>
    </row>
    <row r="601" ht="15.75" customHeight="1">
      <c r="D601" s="19"/>
      <c r="E601" s="20"/>
      <c r="F601" s="19"/>
      <c r="G601" s="11"/>
      <c r="M601" s="21"/>
    </row>
    <row r="602" ht="15.75" customHeight="1">
      <c r="D602" s="19"/>
      <c r="E602" s="20"/>
      <c r="F602" s="19"/>
      <c r="G602" s="11"/>
      <c r="M602" s="21"/>
    </row>
    <row r="603" ht="15.75" customHeight="1">
      <c r="D603" s="19"/>
      <c r="E603" s="20"/>
      <c r="F603" s="19"/>
      <c r="G603" s="11"/>
      <c r="M603" s="21"/>
    </row>
    <row r="604" ht="15.75" customHeight="1">
      <c r="D604" s="19"/>
      <c r="E604" s="20"/>
      <c r="F604" s="19"/>
      <c r="G604" s="11"/>
      <c r="M604" s="21"/>
    </row>
    <row r="605" ht="15.75" customHeight="1">
      <c r="D605" s="19"/>
      <c r="E605" s="20"/>
      <c r="F605" s="19"/>
      <c r="G605" s="11"/>
      <c r="M605" s="21"/>
    </row>
    <row r="606" ht="15.75" customHeight="1">
      <c r="D606" s="19"/>
      <c r="E606" s="20"/>
      <c r="F606" s="19"/>
      <c r="G606" s="11"/>
      <c r="M606" s="21"/>
    </row>
    <row r="607" ht="15.75" customHeight="1">
      <c r="D607" s="19"/>
      <c r="E607" s="20"/>
      <c r="F607" s="19"/>
      <c r="G607" s="11"/>
      <c r="M607" s="21"/>
    </row>
    <row r="608" ht="15.75" customHeight="1">
      <c r="D608" s="19"/>
      <c r="E608" s="20"/>
      <c r="F608" s="19"/>
      <c r="G608" s="11"/>
      <c r="M608" s="21"/>
    </row>
    <row r="609" ht="15.75" customHeight="1">
      <c r="D609" s="19"/>
      <c r="E609" s="20"/>
      <c r="F609" s="19"/>
      <c r="G609" s="11"/>
      <c r="M609" s="21"/>
    </row>
    <row r="610" ht="15.75" customHeight="1">
      <c r="D610" s="19"/>
      <c r="E610" s="20"/>
      <c r="F610" s="19"/>
      <c r="G610" s="11"/>
      <c r="M610" s="21"/>
    </row>
    <row r="611" ht="15.75" customHeight="1">
      <c r="D611" s="19"/>
      <c r="E611" s="20"/>
      <c r="F611" s="19"/>
      <c r="G611" s="11"/>
      <c r="M611" s="21"/>
    </row>
    <row r="612" ht="15.75" customHeight="1">
      <c r="D612" s="19"/>
      <c r="E612" s="20"/>
      <c r="F612" s="19"/>
      <c r="G612" s="11"/>
      <c r="M612" s="21"/>
    </row>
    <row r="613" ht="15.75" customHeight="1">
      <c r="D613" s="19"/>
      <c r="E613" s="20"/>
      <c r="F613" s="19"/>
      <c r="G613" s="11"/>
      <c r="M613" s="21"/>
    </row>
    <row r="614" ht="15.75" customHeight="1">
      <c r="D614" s="19"/>
      <c r="E614" s="20"/>
      <c r="F614" s="19"/>
      <c r="G614" s="11"/>
      <c r="M614" s="21"/>
    </row>
    <row r="615" ht="15.75" customHeight="1">
      <c r="D615" s="19"/>
      <c r="E615" s="20"/>
      <c r="F615" s="19"/>
      <c r="G615" s="11"/>
      <c r="M615" s="21"/>
    </row>
    <row r="616" ht="15.75" customHeight="1">
      <c r="D616" s="19"/>
      <c r="E616" s="20"/>
      <c r="F616" s="19"/>
      <c r="G616" s="11"/>
      <c r="M616" s="21"/>
    </row>
    <row r="617" ht="15.75" customHeight="1">
      <c r="D617" s="19"/>
      <c r="E617" s="20"/>
      <c r="F617" s="19"/>
      <c r="G617" s="11"/>
      <c r="M617" s="21"/>
    </row>
    <row r="618" ht="15.75" customHeight="1">
      <c r="D618" s="19"/>
      <c r="E618" s="20"/>
      <c r="F618" s="19"/>
      <c r="G618" s="11"/>
      <c r="M618" s="21"/>
    </row>
    <row r="619" ht="15.75" customHeight="1">
      <c r="D619" s="19"/>
      <c r="E619" s="20"/>
      <c r="F619" s="19"/>
      <c r="G619" s="11"/>
      <c r="M619" s="21"/>
    </row>
    <row r="620" ht="15.75" customHeight="1">
      <c r="D620" s="19"/>
      <c r="E620" s="20"/>
      <c r="F620" s="19"/>
      <c r="G620" s="11"/>
      <c r="M620" s="21"/>
    </row>
    <row r="621" ht="15.75" customHeight="1">
      <c r="D621" s="19"/>
      <c r="E621" s="20"/>
      <c r="F621" s="19"/>
      <c r="G621" s="11"/>
      <c r="M621" s="21"/>
    </row>
    <row r="622" ht="15.75" customHeight="1">
      <c r="D622" s="19"/>
      <c r="E622" s="20"/>
      <c r="F622" s="19"/>
      <c r="G622" s="11"/>
      <c r="M622" s="21"/>
    </row>
    <row r="623" ht="15.75" customHeight="1">
      <c r="D623" s="19"/>
      <c r="E623" s="20"/>
      <c r="F623" s="19"/>
      <c r="G623" s="11"/>
      <c r="M623" s="21"/>
    </row>
    <row r="624" ht="15.75" customHeight="1">
      <c r="D624" s="19"/>
      <c r="E624" s="20"/>
      <c r="F624" s="19"/>
      <c r="G624" s="11"/>
      <c r="M624" s="21"/>
    </row>
    <row r="625" ht="15.75" customHeight="1">
      <c r="D625" s="19"/>
      <c r="E625" s="20"/>
      <c r="F625" s="19"/>
      <c r="G625" s="11"/>
      <c r="M625" s="21"/>
    </row>
    <row r="626" ht="15.75" customHeight="1">
      <c r="D626" s="19"/>
      <c r="E626" s="20"/>
      <c r="F626" s="19"/>
      <c r="G626" s="11"/>
      <c r="M626" s="21"/>
    </row>
    <row r="627" ht="15.75" customHeight="1">
      <c r="D627" s="19"/>
      <c r="E627" s="20"/>
      <c r="F627" s="19"/>
      <c r="G627" s="11"/>
      <c r="M627" s="21"/>
    </row>
    <row r="628" ht="15.75" customHeight="1">
      <c r="D628" s="19"/>
      <c r="E628" s="20"/>
      <c r="F628" s="19"/>
      <c r="G628" s="11"/>
      <c r="M628" s="21"/>
    </row>
    <row r="629" ht="15.75" customHeight="1">
      <c r="D629" s="19"/>
      <c r="E629" s="20"/>
      <c r="F629" s="19"/>
      <c r="G629" s="11"/>
      <c r="M629" s="21"/>
    </row>
    <row r="630" ht="15.75" customHeight="1">
      <c r="D630" s="19"/>
      <c r="E630" s="20"/>
      <c r="F630" s="19"/>
      <c r="G630" s="11"/>
      <c r="M630" s="21"/>
    </row>
    <row r="631" ht="15.75" customHeight="1">
      <c r="D631" s="19"/>
      <c r="E631" s="20"/>
      <c r="F631" s="19"/>
      <c r="G631" s="11"/>
      <c r="M631" s="21"/>
    </row>
    <row r="632" ht="15.75" customHeight="1">
      <c r="D632" s="19"/>
      <c r="E632" s="20"/>
      <c r="F632" s="19"/>
      <c r="G632" s="11"/>
      <c r="M632" s="21"/>
    </row>
    <row r="633" ht="15.75" customHeight="1">
      <c r="D633" s="19"/>
      <c r="E633" s="20"/>
      <c r="F633" s="19"/>
      <c r="G633" s="11"/>
      <c r="M633" s="21"/>
    </row>
    <row r="634" ht="15.75" customHeight="1">
      <c r="D634" s="19"/>
      <c r="E634" s="20"/>
      <c r="F634" s="19"/>
      <c r="G634" s="11"/>
      <c r="M634" s="21"/>
    </row>
    <row r="635" ht="15.75" customHeight="1">
      <c r="D635" s="19"/>
      <c r="E635" s="20"/>
      <c r="F635" s="19"/>
      <c r="G635" s="11"/>
      <c r="M635" s="21"/>
    </row>
    <row r="636" ht="15.75" customHeight="1">
      <c r="D636" s="19"/>
      <c r="E636" s="20"/>
      <c r="F636" s="19"/>
      <c r="G636" s="11"/>
      <c r="M636" s="21"/>
    </row>
    <row r="637" ht="15.75" customHeight="1">
      <c r="D637" s="19"/>
      <c r="E637" s="20"/>
      <c r="F637" s="19"/>
      <c r="G637" s="11"/>
      <c r="M637" s="21"/>
    </row>
    <row r="638" ht="15.75" customHeight="1">
      <c r="D638" s="19"/>
      <c r="E638" s="20"/>
      <c r="F638" s="19"/>
      <c r="G638" s="11"/>
      <c r="M638" s="21"/>
    </row>
    <row r="639" ht="15.75" customHeight="1">
      <c r="D639" s="19"/>
      <c r="E639" s="20"/>
      <c r="F639" s="19"/>
      <c r="G639" s="11"/>
      <c r="M639" s="21"/>
    </row>
    <row r="640" ht="15.75" customHeight="1">
      <c r="D640" s="19"/>
      <c r="E640" s="20"/>
      <c r="F640" s="19"/>
      <c r="G640" s="11"/>
      <c r="M640" s="21"/>
    </row>
    <row r="641" ht="15.75" customHeight="1">
      <c r="D641" s="19"/>
      <c r="E641" s="20"/>
      <c r="F641" s="19"/>
      <c r="G641" s="11"/>
      <c r="M641" s="21"/>
    </row>
    <row r="642" ht="15.75" customHeight="1">
      <c r="D642" s="19"/>
      <c r="E642" s="20"/>
      <c r="F642" s="19"/>
      <c r="G642" s="11"/>
      <c r="M642" s="21"/>
    </row>
    <row r="643" ht="15.75" customHeight="1">
      <c r="D643" s="19"/>
      <c r="E643" s="20"/>
      <c r="F643" s="19"/>
      <c r="G643" s="11"/>
      <c r="M643" s="21"/>
    </row>
    <row r="644" ht="15.75" customHeight="1">
      <c r="D644" s="19"/>
      <c r="E644" s="20"/>
      <c r="F644" s="19"/>
      <c r="G644" s="11"/>
      <c r="M644" s="21"/>
    </row>
    <row r="645" ht="15.75" customHeight="1">
      <c r="D645" s="19"/>
      <c r="E645" s="20"/>
      <c r="F645" s="19"/>
      <c r="G645" s="11"/>
      <c r="M645" s="21"/>
    </row>
    <row r="646" ht="15.75" customHeight="1">
      <c r="D646" s="19"/>
      <c r="E646" s="20"/>
      <c r="F646" s="19"/>
      <c r="G646" s="11"/>
      <c r="M646" s="21"/>
    </row>
    <row r="647" ht="15.75" customHeight="1">
      <c r="D647" s="19"/>
      <c r="E647" s="20"/>
      <c r="F647" s="19"/>
      <c r="G647" s="11"/>
      <c r="M647" s="21"/>
    </row>
    <row r="648" ht="15.75" customHeight="1">
      <c r="D648" s="19"/>
      <c r="E648" s="20"/>
      <c r="F648" s="19"/>
      <c r="G648" s="11"/>
      <c r="M648" s="21"/>
    </row>
    <row r="649" ht="15.75" customHeight="1">
      <c r="D649" s="19"/>
      <c r="E649" s="20"/>
      <c r="F649" s="19"/>
      <c r="G649" s="11"/>
      <c r="M649" s="21"/>
    </row>
    <row r="650" ht="15.75" customHeight="1">
      <c r="D650" s="19"/>
      <c r="E650" s="20"/>
      <c r="F650" s="19"/>
      <c r="G650" s="11"/>
      <c r="M650" s="21"/>
    </row>
    <row r="651" ht="15.75" customHeight="1">
      <c r="D651" s="19"/>
      <c r="E651" s="20"/>
      <c r="F651" s="19"/>
      <c r="G651" s="11"/>
      <c r="M651" s="21"/>
    </row>
    <row r="652" ht="15.75" customHeight="1">
      <c r="D652" s="19"/>
      <c r="E652" s="20"/>
      <c r="F652" s="19"/>
      <c r="G652" s="11"/>
      <c r="M652" s="21"/>
    </row>
    <row r="653" ht="15.75" customHeight="1">
      <c r="D653" s="19"/>
      <c r="E653" s="20"/>
      <c r="F653" s="19"/>
      <c r="G653" s="11"/>
      <c r="M653" s="21"/>
    </row>
    <row r="654" ht="15.75" customHeight="1">
      <c r="D654" s="19"/>
      <c r="E654" s="20"/>
      <c r="F654" s="19"/>
      <c r="G654" s="11"/>
      <c r="M654" s="21"/>
    </row>
    <row r="655" ht="15.75" customHeight="1">
      <c r="D655" s="19"/>
      <c r="E655" s="20"/>
      <c r="F655" s="19"/>
      <c r="G655" s="11"/>
      <c r="M655" s="21"/>
    </row>
    <row r="656" ht="15.75" customHeight="1">
      <c r="D656" s="19"/>
      <c r="E656" s="20"/>
      <c r="F656" s="19"/>
      <c r="G656" s="11"/>
      <c r="M656" s="21"/>
    </row>
    <row r="657" ht="15.75" customHeight="1">
      <c r="D657" s="19"/>
      <c r="E657" s="20"/>
      <c r="F657" s="19"/>
      <c r="G657" s="11"/>
      <c r="M657" s="21"/>
    </row>
    <row r="658" ht="15.75" customHeight="1">
      <c r="D658" s="19"/>
      <c r="E658" s="20"/>
      <c r="F658" s="19"/>
      <c r="G658" s="11"/>
      <c r="M658" s="21"/>
    </row>
    <row r="659" ht="15.75" customHeight="1">
      <c r="D659" s="19"/>
      <c r="E659" s="20"/>
      <c r="F659" s="19"/>
      <c r="G659" s="11"/>
      <c r="M659" s="21"/>
    </row>
    <row r="660" ht="15.75" customHeight="1">
      <c r="D660" s="19"/>
      <c r="E660" s="20"/>
      <c r="F660" s="19"/>
      <c r="G660" s="11"/>
      <c r="M660" s="21"/>
    </row>
    <row r="661" ht="15.75" customHeight="1">
      <c r="D661" s="19"/>
      <c r="E661" s="20"/>
      <c r="F661" s="19"/>
      <c r="G661" s="11"/>
      <c r="M661" s="21"/>
    </row>
    <row r="662" ht="15.75" customHeight="1">
      <c r="D662" s="19"/>
      <c r="E662" s="20"/>
      <c r="F662" s="19"/>
      <c r="G662" s="11"/>
      <c r="M662" s="21"/>
    </row>
    <row r="663" ht="15.75" customHeight="1">
      <c r="D663" s="19"/>
      <c r="E663" s="20"/>
      <c r="F663" s="19"/>
      <c r="G663" s="11"/>
      <c r="M663" s="21"/>
    </row>
    <row r="664" ht="15.75" customHeight="1">
      <c r="D664" s="19"/>
      <c r="E664" s="20"/>
      <c r="F664" s="19"/>
      <c r="G664" s="11"/>
      <c r="M664" s="21"/>
    </row>
    <row r="665" ht="15.75" customHeight="1">
      <c r="D665" s="19"/>
      <c r="E665" s="20"/>
      <c r="F665" s="19"/>
      <c r="G665" s="11"/>
      <c r="M665" s="21"/>
    </row>
    <row r="666" ht="15.75" customHeight="1">
      <c r="D666" s="19"/>
      <c r="E666" s="20"/>
      <c r="F666" s="19"/>
      <c r="G666" s="11"/>
      <c r="M666" s="21"/>
    </row>
    <row r="667" ht="15.75" customHeight="1">
      <c r="D667" s="19"/>
      <c r="E667" s="20"/>
      <c r="F667" s="19"/>
      <c r="G667" s="11"/>
      <c r="M667" s="21"/>
    </row>
    <row r="668" ht="15.75" customHeight="1">
      <c r="D668" s="19"/>
      <c r="E668" s="20"/>
      <c r="F668" s="19"/>
      <c r="G668" s="11"/>
      <c r="M668" s="21"/>
    </row>
    <row r="669" ht="15.75" customHeight="1">
      <c r="D669" s="19"/>
      <c r="E669" s="20"/>
      <c r="F669" s="19"/>
      <c r="G669" s="11"/>
      <c r="M669" s="21"/>
    </row>
    <row r="670" ht="15.75" customHeight="1">
      <c r="D670" s="19"/>
      <c r="E670" s="20"/>
      <c r="F670" s="19"/>
      <c r="G670" s="11"/>
      <c r="M670" s="21"/>
    </row>
    <row r="671" ht="15.75" customHeight="1">
      <c r="D671" s="19"/>
      <c r="E671" s="20"/>
      <c r="F671" s="19"/>
      <c r="G671" s="11"/>
      <c r="M671" s="21"/>
    </row>
    <row r="672" ht="15.75" customHeight="1">
      <c r="D672" s="19"/>
      <c r="E672" s="20"/>
      <c r="F672" s="19"/>
      <c r="G672" s="11"/>
      <c r="M672" s="21"/>
    </row>
    <row r="673" ht="15.75" customHeight="1">
      <c r="D673" s="19"/>
      <c r="E673" s="20"/>
      <c r="F673" s="19"/>
      <c r="G673" s="11"/>
      <c r="M673" s="21"/>
    </row>
    <row r="674" ht="15.75" customHeight="1">
      <c r="D674" s="19"/>
      <c r="E674" s="20"/>
      <c r="F674" s="19"/>
      <c r="G674" s="11"/>
      <c r="M674" s="21"/>
    </row>
    <row r="675" ht="15.75" customHeight="1">
      <c r="D675" s="19"/>
      <c r="E675" s="20"/>
      <c r="F675" s="19"/>
      <c r="G675" s="11"/>
      <c r="M675" s="21"/>
    </row>
    <row r="676" ht="15.75" customHeight="1">
      <c r="D676" s="19"/>
      <c r="E676" s="20"/>
      <c r="F676" s="19"/>
      <c r="G676" s="11"/>
      <c r="M676" s="21"/>
    </row>
    <row r="677" ht="15.75" customHeight="1">
      <c r="D677" s="19"/>
      <c r="E677" s="20"/>
      <c r="F677" s="19"/>
      <c r="G677" s="11"/>
      <c r="M677" s="21"/>
    </row>
    <row r="678" ht="15.75" customHeight="1">
      <c r="D678" s="19"/>
      <c r="E678" s="20"/>
      <c r="F678" s="19"/>
      <c r="G678" s="11"/>
      <c r="M678" s="21"/>
    </row>
    <row r="679" ht="15.75" customHeight="1">
      <c r="D679" s="19"/>
      <c r="E679" s="20"/>
      <c r="F679" s="19"/>
      <c r="G679" s="11"/>
      <c r="M679" s="21"/>
    </row>
    <row r="680" ht="15.75" customHeight="1">
      <c r="D680" s="19"/>
      <c r="E680" s="20"/>
      <c r="F680" s="19"/>
      <c r="G680" s="11"/>
      <c r="M680" s="21"/>
    </row>
    <row r="681" ht="15.75" customHeight="1">
      <c r="D681" s="19"/>
      <c r="E681" s="20"/>
      <c r="F681" s="19"/>
      <c r="G681" s="11"/>
      <c r="M681" s="21"/>
    </row>
    <row r="682" ht="15.75" customHeight="1">
      <c r="D682" s="19"/>
      <c r="E682" s="20"/>
      <c r="F682" s="19"/>
      <c r="G682" s="11"/>
      <c r="M682" s="21"/>
    </row>
    <row r="683" ht="15.75" customHeight="1">
      <c r="D683" s="19"/>
      <c r="E683" s="20"/>
      <c r="F683" s="19"/>
      <c r="G683" s="11"/>
      <c r="M683" s="21"/>
    </row>
    <row r="684" ht="15.75" customHeight="1">
      <c r="D684" s="19"/>
      <c r="E684" s="20"/>
      <c r="F684" s="19"/>
      <c r="G684" s="11"/>
      <c r="M684" s="21"/>
    </row>
    <row r="685" ht="15.75" customHeight="1">
      <c r="D685" s="19"/>
      <c r="E685" s="20"/>
      <c r="F685" s="19"/>
      <c r="G685" s="11"/>
      <c r="M685" s="21"/>
    </row>
    <row r="686" ht="15.75" customHeight="1">
      <c r="D686" s="19"/>
      <c r="E686" s="20"/>
      <c r="F686" s="19"/>
      <c r="G686" s="11"/>
      <c r="M686" s="21"/>
    </row>
    <row r="687" ht="15.75" customHeight="1">
      <c r="D687" s="19"/>
      <c r="E687" s="20"/>
      <c r="F687" s="19"/>
      <c r="G687" s="11"/>
      <c r="M687" s="21"/>
    </row>
    <row r="688" ht="15.75" customHeight="1">
      <c r="D688" s="19"/>
      <c r="E688" s="20"/>
      <c r="F688" s="19"/>
      <c r="G688" s="11"/>
      <c r="M688" s="21"/>
    </row>
    <row r="689" ht="15.75" customHeight="1">
      <c r="D689" s="19"/>
      <c r="E689" s="20"/>
      <c r="F689" s="19"/>
      <c r="G689" s="11"/>
      <c r="M689" s="21"/>
    </row>
    <row r="690" ht="15.75" customHeight="1">
      <c r="D690" s="19"/>
      <c r="E690" s="20"/>
      <c r="F690" s="19"/>
      <c r="G690" s="11"/>
      <c r="M690" s="21"/>
    </row>
    <row r="691" ht="15.75" customHeight="1">
      <c r="D691" s="19"/>
      <c r="E691" s="20"/>
      <c r="F691" s="19"/>
      <c r="G691" s="11"/>
      <c r="M691" s="21"/>
    </row>
    <row r="692" ht="15.75" customHeight="1">
      <c r="D692" s="19"/>
      <c r="E692" s="20"/>
      <c r="F692" s="19"/>
      <c r="G692" s="11"/>
      <c r="M692" s="21"/>
    </row>
    <row r="693" ht="15.75" customHeight="1">
      <c r="D693" s="19"/>
      <c r="E693" s="20"/>
      <c r="F693" s="19"/>
      <c r="G693" s="11"/>
      <c r="M693" s="21"/>
    </row>
    <row r="694" ht="15.75" customHeight="1">
      <c r="D694" s="19"/>
      <c r="E694" s="20"/>
      <c r="F694" s="19"/>
      <c r="G694" s="11"/>
      <c r="M694" s="21"/>
    </row>
    <row r="695" ht="15.75" customHeight="1">
      <c r="D695" s="19"/>
      <c r="E695" s="20"/>
      <c r="F695" s="19"/>
      <c r="G695" s="11"/>
      <c r="M695" s="21"/>
    </row>
    <row r="696" ht="15.75" customHeight="1">
      <c r="D696" s="19"/>
      <c r="E696" s="20"/>
      <c r="F696" s="19"/>
      <c r="G696" s="11"/>
      <c r="M696" s="21"/>
    </row>
    <row r="697" ht="15.75" customHeight="1">
      <c r="D697" s="19"/>
      <c r="E697" s="20"/>
      <c r="F697" s="19"/>
      <c r="G697" s="11"/>
      <c r="M697" s="21"/>
    </row>
    <row r="698" ht="15.75" customHeight="1">
      <c r="D698" s="19"/>
      <c r="E698" s="20"/>
      <c r="F698" s="19"/>
      <c r="G698" s="11"/>
      <c r="M698" s="21"/>
    </row>
    <row r="699" ht="15.75" customHeight="1">
      <c r="D699" s="19"/>
      <c r="E699" s="20"/>
      <c r="F699" s="19"/>
      <c r="G699" s="11"/>
      <c r="M699" s="21"/>
    </row>
    <row r="700" ht="15.75" customHeight="1">
      <c r="D700" s="19"/>
      <c r="E700" s="20"/>
      <c r="F700" s="19"/>
      <c r="G700" s="11"/>
      <c r="M700" s="21"/>
    </row>
    <row r="701" ht="15.75" customHeight="1">
      <c r="D701" s="19"/>
      <c r="E701" s="20"/>
      <c r="F701" s="19"/>
      <c r="G701" s="11"/>
      <c r="M701" s="21"/>
    </row>
    <row r="702" ht="15.75" customHeight="1">
      <c r="D702" s="19"/>
      <c r="E702" s="20"/>
      <c r="F702" s="19"/>
      <c r="G702" s="11"/>
      <c r="M702" s="21"/>
    </row>
    <row r="703" ht="15.75" customHeight="1">
      <c r="D703" s="19"/>
      <c r="E703" s="20"/>
      <c r="F703" s="19"/>
      <c r="G703" s="11"/>
      <c r="M703" s="21"/>
    </row>
    <row r="704" ht="15.75" customHeight="1">
      <c r="D704" s="19"/>
      <c r="E704" s="20"/>
      <c r="F704" s="19"/>
      <c r="G704" s="11"/>
      <c r="M704" s="21"/>
    </row>
    <row r="705" ht="15.75" customHeight="1">
      <c r="D705" s="19"/>
      <c r="E705" s="20"/>
      <c r="F705" s="19"/>
      <c r="G705" s="11"/>
      <c r="M705" s="21"/>
    </row>
    <row r="706" ht="15.75" customHeight="1">
      <c r="D706" s="19"/>
      <c r="E706" s="20"/>
      <c r="F706" s="19"/>
      <c r="G706" s="11"/>
      <c r="M706" s="21"/>
    </row>
    <row r="707" ht="15.75" customHeight="1">
      <c r="D707" s="19"/>
      <c r="E707" s="20"/>
      <c r="F707" s="19"/>
      <c r="G707" s="11"/>
      <c r="M707" s="21"/>
    </row>
    <row r="708" ht="15.75" customHeight="1">
      <c r="D708" s="19"/>
      <c r="E708" s="20"/>
      <c r="F708" s="19"/>
      <c r="G708" s="11"/>
      <c r="M708" s="21"/>
    </row>
    <row r="709" ht="15.75" customHeight="1">
      <c r="D709" s="19"/>
      <c r="E709" s="20"/>
      <c r="F709" s="19"/>
      <c r="G709" s="11"/>
      <c r="M709" s="21"/>
    </row>
    <row r="710" ht="15.75" customHeight="1">
      <c r="D710" s="19"/>
      <c r="E710" s="20"/>
      <c r="F710" s="19"/>
      <c r="G710" s="11"/>
      <c r="M710" s="21"/>
    </row>
    <row r="711" ht="15.75" customHeight="1">
      <c r="D711" s="19"/>
      <c r="E711" s="20"/>
      <c r="F711" s="19"/>
      <c r="G711" s="11"/>
      <c r="M711" s="21"/>
    </row>
    <row r="712" ht="15.75" customHeight="1">
      <c r="D712" s="19"/>
      <c r="E712" s="20"/>
      <c r="F712" s="19"/>
      <c r="G712" s="11"/>
      <c r="M712" s="21"/>
    </row>
    <row r="713" ht="15.75" customHeight="1">
      <c r="D713" s="19"/>
      <c r="E713" s="20"/>
      <c r="F713" s="19"/>
      <c r="G713" s="11"/>
      <c r="M713" s="21"/>
    </row>
    <row r="714" ht="15.75" customHeight="1">
      <c r="D714" s="19"/>
      <c r="E714" s="20"/>
      <c r="F714" s="19"/>
      <c r="G714" s="11"/>
      <c r="M714" s="21"/>
    </row>
    <row r="715" ht="15.75" customHeight="1">
      <c r="D715" s="19"/>
      <c r="E715" s="20"/>
      <c r="F715" s="19"/>
      <c r="G715" s="11"/>
      <c r="M715" s="21"/>
    </row>
    <row r="716" ht="15.75" customHeight="1">
      <c r="D716" s="19"/>
      <c r="E716" s="20"/>
      <c r="F716" s="19"/>
      <c r="G716" s="11"/>
      <c r="M716" s="21"/>
    </row>
    <row r="717" ht="15.75" customHeight="1">
      <c r="D717" s="19"/>
      <c r="E717" s="20"/>
      <c r="F717" s="19"/>
      <c r="G717" s="11"/>
      <c r="M717" s="21"/>
    </row>
    <row r="718" ht="15.75" customHeight="1">
      <c r="D718" s="19"/>
      <c r="E718" s="20"/>
      <c r="F718" s="19"/>
      <c r="G718" s="11"/>
      <c r="M718" s="21"/>
    </row>
    <row r="719" ht="15.75" customHeight="1">
      <c r="D719" s="19"/>
      <c r="E719" s="20"/>
      <c r="F719" s="19"/>
      <c r="G719" s="11"/>
      <c r="M719" s="21"/>
    </row>
    <row r="720" ht="15.75" customHeight="1">
      <c r="D720" s="19"/>
      <c r="E720" s="20"/>
      <c r="F720" s="19"/>
      <c r="G720" s="11"/>
      <c r="M720" s="21"/>
    </row>
    <row r="721" ht="15.75" customHeight="1">
      <c r="D721" s="19"/>
      <c r="E721" s="20"/>
      <c r="F721" s="19"/>
      <c r="G721" s="11"/>
      <c r="M721" s="21"/>
    </row>
    <row r="722" ht="15.75" customHeight="1">
      <c r="D722" s="19"/>
      <c r="E722" s="20"/>
      <c r="F722" s="19"/>
      <c r="G722" s="11"/>
      <c r="M722" s="21"/>
    </row>
    <row r="723" ht="15.75" customHeight="1">
      <c r="D723" s="19"/>
      <c r="E723" s="20"/>
      <c r="F723" s="19"/>
      <c r="G723" s="11"/>
      <c r="M723" s="21"/>
    </row>
    <row r="724" ht="15.75" customHeight="1">
      <c r="D724" s="19"/>
      <c r="E724" s="20"/>
      <c r="F724" s="19"/>
      <c r="G724" s="11"/>
      <c r="M724" s="21"/>
    </row>
    <row r="725" ht="15.75" customHeight="1">
      <c r="D725" s="19"/>
      <c r="E725" s="20"/>
      <c r="F725" s="19"/>
      <c r="G725" s="11"/>
      <c r="M725" s="21"/>
    </row>
    <row r="726" ht="15.75" customHeight="1">
      <c r="D726" s="19"/>
      <c r="E726" s="20"/>
      <c r="F726" s="19"/>
      <c r="G726" s="11"/>
      <c r="M726" s="21"/>
    </row>
    <row r="727" ht="15.75" customHeight="1">
      <c r="D727" s="19"/>
      <c r="E727" s="20"/>
      <c r="F727" s="19"/>
      <c r="G727" s="11"/>
      <c r="M727" s="21"/>
    </row>
    <row r="728" ht="15.75" customHeight="1">
      <c r="D728" s="19"/>
      <c r="E728" s="20"/>
      <c r="F728" s="19"/>
      <c r="G728" s="11"/>
      <c r="M728" s="21"/>
    </row>
    <row r="729" ht="15.75" customHeight="1">
      <c r="D729" s="19"/>
      <c r="E729" s="20"/>
      <c r="F729" s="19"/>
      <c r="G729" s="11"/>
      <c r="M729" s="21"/>
    </row>
    <row r="730" ht="15.75" customHeight="1">
      <c r="D730" s="19"/>
      <c r="E730" s="20"/>
      <c r="F730" s="19"/>
      <c r="G730" s="11"/>
      <c r="M730" s="21"/>
    </row>
    <row r="731" ht="15.75" customHeight="1">
      <c r="D731" s="19"/>
      <c r="E731" s="20"/>
      <c r="F731" s="19"/>
      <c r="G731" s="11"/>
      <c r="M731" s="21"/>
    </row>
    <row r="732" ht="15.75" customHeight="1">
      <c r="D732" s="19"/>
      <c r="E732" s="20"/>
      <c r="F732" s="19"/>
      <c r="G732" s="11"/>
      <c r="M732" s="21"/>
    </row>
    <row r="733" ht="15.75" customHeight="1">
      <c r="D733" s="19"/>
      <c r="E733" s="20"/>
      <c r="F733" s="19"/>
      <c r="G733" s="11"/>
      <c r="M733" s="21"/>
    </row>
    <row r="734" ht="15.75" customHeight="1">
      <c r="D734" s="19"/>
      <c r="E734" s="20"/>
      <c r="F734" s="19"/>
      <c r="G734" s="11"/>
      <c r="M734" s="21"/>
    </row>
    <row r="735" ht="15.75" customHeight="1">
      <c r="D735" s="19"/>
      <c r="E735" s="20"/>
      <c r="F735" s="19"/>
      <c r="G735" s="11"/>
      <c r="M735" s="21"/>
    </row>
    <row r="736" ht="15.75" customHeight="1">
      <c r="D736" s="19"/>
      <c r="E736" s="20"/>
      <c r="F736" s="19"/>
      <c r="G736" s="11"/>
      <c r="M736" s="21"/>
    </row>
    <row r="737" ht="15.75" customHeight="1">
      <c r="D737" s="19"/>
      <c r="E737" s="20"/>
      <c r="F737" s="19"/>
      <c r="G737" s="11"/>
      <c r="M737" s="21"/>
    </row>
    <row r="738" ht="15.75" customHeight="1">
      <c r="D738" s="19"/>
      <c r="E738" s="20"/>
      <c r="F738" s="19"/>
      <c r="G738" s="11"/>
      <c r="M738" s="21"/>
    </row>
    <row r="739" ht="15.75" customHeight="1">
      <c r="D739" s="19"/>
      <c r="E739" s="20"/>
      <c r="F739" s="19"/>
      <c r="G739" s="11"/>
      <c r="M739" s="21"/>
    </row>
    <row r="740" ht="15.75" customHeight="1">
      <c r="D740" s="19"/>
      <c r="E740" s="20"/>
      <c r="F740" s="19"/>
      <c r="G740" s="11"/>
      <c r="M740" s="21"/>
    </row>
    <row r="741" ht="15.75" customHeight="1">
      <c r="D741" s="19"/>
      <c r="E741" s="20"/>
      <c r="F741" s="19"/>
      <c r="G741" s="11"/>
      <c r="M741" s="21"/>
    </row>
    <row r="742" ht="15.75" customHeight="1">
      <c r="D742" s="19"/>
      <c r="E742" s="20"/>
      <c r="F742" s="19"/>
      <c r="G742" s="11"/>
      <c r="M742" s="21"/>
    </row>
    <row r="743" ht="15.75" customHeight="1">
      <c r="D743" s="19"/>
      <c r="E743" s="20"/>
      <c r="F743" s="19"/>
      <c r="G743" s="11"/>
      <c r="M743" s="21"/>
    </row>
    <row r="744" ht="15.75" customHeight="1">
      <c r="D744" s="19"/>
      <c r="E744" s="20"/>
      <c r="F744" s="19"/>
      <c r="G744" s="11"/>
      <c r="M744" s="21"/>
    </row>
    <row r="745" ht="15.75" customHeight="1">
      <c r="D745" s="19"/>
      <c r="E745" s="20"/>
      <c r="F745" s="19"/>
      <c r="G745" s="11"/>
      <c r="M745" s="21"/>
    </row>
    <row r="746" ht="15.75" customHeight="1">
      <c r="D746" s="19"/>
      <c r="E746" s="20"/>
      <c r="F746" s="19"/>
      <c r="G746" s="11"/>
      <c r="M746" s="21"/>
    </row>
    <row r="747" ht="15.75" customHeight="1">
      <c r="D747" s="19"/>
      <c r="E747" s="20"/>
      <c r="F747" s="19"/>
      <c r="G747" s="11"/>
      <c r="M747" s="21"/>
    </row>
    <row r="748" ht="15.75" customHeight="1">
      <c r="D748" s="19"/>
      <c r="E748" s="20"/>
      <c r="F748" s="19"/>
      <c r="G748" s="11"/>
      <c r="M748" s="21"/>
    </row>
    <row r="749" ht="15.75" customHeight="1">
      <c r="D749" s="19"/>
      <c r="E749" s="20"/>
      <c r="F749" s="19"/>
      <c r="G749" s="11"/>
      <c r="M749" s="21"/>
    </row>
    <row r="750" ht="15.75" customHeight="1">
      <c r="D750" s="19"/>
      <c r="E750" s="20"/>
      <c r="F750" s="19"/>
      <c r="G750" s="11"/>
      <c r="M750" s="21"/>
    </row>
    <row r="751" ht="15.75" customHeight="1">
      <c r="D751" s="19"/>
      <c r="E751" s="20"/>
      <c r="F751" s="19"/>
      <c r="G751" s="11"/>
      <c r="M751" s="21"/>
    </row>
    <row r="752" ht="15.75" customHeight="1">
      <c r="D752" s="19"/>
      <c r="E752" s="20"/>
      <c r="F752" s="19"/>
      <c r="G752" s="11"/>
      <c r="M752" s="21"/>
    </row>
    <row r="753" ht="15.75" customHeight="1">
      <c r="D753" s="19"/>
      <c r="E753" s="20"/>
      <c r="F753" s="19"/>
      <c r="G753" s="11"/>
      <c r="M753" s="21"/>
    </row>
    <row r="754" ht="15.75" customHeight="1">
      <c r="D754" s="19"/>
      <c r="E754" s="20"/>
      <c r="F754" s="19"/>
      <c r="G754" s="11"/>
      <c r="M754" s="21"/>
    </row>
    <row r="755" ht="15.75" customHeight="1">
      <c r="D755" s="19"/>
      <c r="E755" s="20"/>
      <c r="F755" s="19"/>
      <c r="G755" s="11"/>
      <c r="M755" s="21"/>
    </row>
    <row r="756" ht="15.75" customHeight="1">
      <c r="D756" s="19"/>
      <c r="E756" s="20"/>
      <c r="F756" s="19"/>
      <c r="G756" s="11"/>
      <c r="M756" s="21"/>
    </row>
    <row r="757" ht="15.75" customHeight="1">
      <c r="D757" s="19"/>
      <c r="E757" s="20"/>
      <c r="F757" s="19"/>
      <c r="G757" s="11"/>
      <c r="M757" s="21"/>
    </row>
    <row r="758" ht="15.75" customHeight="1">
      <c r="D758" s="19"/>
      <c r="E758" s="20"/>
      <c r="F758" s="19"/>
      <c r="G758" s="11"/>
      <c r="M758" s="21"/>
    </row>
    <row r="759" ht="15.75" customHeight="1">
      <c r="D759" s="19"/>
      <c r="E759" s="20"/>
      <c r="F759" s="19"/>
      <c r="G759" s="11"/>
      <c r="M759" s="21"/>
    </row>
    <row r="760" ht="15.75" customHeight="1">
      <c r="D760" s="19"/>
      <c r="E760" s="20"/>
      <c r="F760" s="19"/>
      <c r="G760" s="11"/>
      <c r="M760" s="21"/>
    </row>
    <row r="761" ht="15.75" customHeight="1">
      <c r="D761" s="19"/>
      <c r="E761" s="20"/>
      <c r="F761" s="19"/>
      <c r="G761" s="11"/>
      <c r="M761" s="21"/>
    </row>
    <row r="762" ht="15.75" customHeight="1">
      <c r="D762" s="19"/>
      <c r="E762" s="20"/>
      <c r="F762" s="19"/>
      <c r="G762" s="11"/>
      <c r="M762" s="21"/>
    </row>
    <row r="763" ht="15.75" customHeight="1">
      <c r="D763" s="19"/>
      <c r="E763" s="20"/>
      <c r="F763" s="19"/>
      <c r="G763" s="11"/>
      <c r="M763" s="21"/>
    </row>
    <row r="764" ht="15.75" customHeight="1">
      <c r="D764" s="19"/>
      <c r="E764" s="20"/>
      <c r="F764" s="19"/>
      <c r="G764" s="11"/>
      <c r="M764" s="21"/>
    </row>
    <row r="765" ht="15.75" customHeight="1">
      <c r="D765" s="19"/>
      <c r="E765" s="20"/>
      <c r="F765" s="19"/>
      <c r="G765" s="11"/>
      <c r="M765" s="21"/>
    </row>
    <row r="766" ht="15.75" customHeight="1">
      <c r="D766" s="19"/>
      <c r="E766" s="20"/>
      <c r="F766" s="19"/>
      <c r="G766" s="11"/>
      <c r="M766" s="21"/>
    </row>
    <row r="767" ht="15.75" customHeight="1">
      <c r="D767" s="19"/>
      <c r="E767" s="20"/>
      <c r="F767" s="19"/>
      <c r="G767" s="11"/>
      <c r="M767" s="21"/>
    </row>
    <row r="768" ht="15.75" customHeight="1">
      <c r="D768" s="19"/>
      <c r="E768" s="20"/>
      <c r="F768" s="19"/>
      <c r="G768" s="11"/>
      <c r="M768" s="21"/>
    </row>
    <row r="769" ht="15.75" customHeight="1">
      <c r="D769" s="19"/>
      <c r="E769" s="20"/>
      <c r="F769" s="19"/>
      <c r="G769" s="11"/>
      <c r="M769" s="21"/>
    </row>
    <row r="770" ht="15.75" customHeight="1">
      <c r="D770" s="19"/>
      <c r="E770" s="20"/>
      <c r="F770" s="19"/>
      <c r="G770" s="11"/>
      <c r="M770" s="21"/>
    </row>
    <row r="771" ht="15.75" customHeight="1">
      <c r="D771" s="19"/>
      <c r="E771" s="20"/>
      <c r="F771" s="19"/>
      <c r="G771" s="11"/>
      <c r="M771" s="21"/>
    </row>
    <row r="772" ht="15.75" customHeight="1">
      <c r="D772" s="19"/>
      <c r="E772" s="20"/>
      <c r="F772" s="19"/>
      <c r="G772" s="11"/>
      <c r="M772" s="21"/>
    </row>
    <row r="773" ht="15.75" customHeight="1">
      <c r="D773" s="19"/>
      <c r="E773" s="20"/>
      <c r="F773" s="19"/>
      <c r="G773" s="11"/>
      <c r="M773" s="21"/>
    </row>
    <row r="774" ht="15.75" customHeight="1">
      <c r="D774" s="19"/>
      <c r="E774" s="20"/>
      <c r="F774" s="19"/>
      <c r="G774" s="11"/>
      <c r="M774" s="21"/>
    </row>
    <row r="775" ht="15.75" customHeight="1">
      <c r="D775" s="19"/>
      <c r="E775" s="20"/>
      <c r="F775" s="19"/>
      <c r="G775" s="11"/>
      <c r="M775" s="21"/>
    </row>
    <row r="776" ht="15.75" customHeight="1">
      <c r="D776" s="19"/>
      <c r="E776" s="20"/>
      <c r="F776" s="19"/>
      <c r="G776" s="11"/>
      <c r="M776" s="21"/>
    </row>
    <row r="777" ht="15.75" customHeight="1">
      <c r="D777" s="19"/>
      <c r="E777" s="20"/>
      <c r="F777" s="19"/>
      <c r="G777" s="11"/>
      <c r="M777" s="21"/>
    </row>
    <row r="778" ht="15.75" customHeight="1">
      <c r="D778" s="19"/>
      <c r="E778" s="20"/>
      <c r="F778" s="19"/>
      <c r="G778" s="11"/>
      <c r="M778" s="21"/>
    </row>
    <row r="779" ht="15.75" customHeight="1">
      <c r="D779" s="19"/>
      <c r="E779" s="20"/>
      <c r="F779" s="19"/>
      <c r="G779" s="11"/>
      <c r="M779" s="21"/>
    </row>
    <row r="780" ht="15.75" customHeight="1">
      <c r="D780" s="19"/>
      <c r="E780" s="20"/>
      <c r="F780" s="19"/>
      <c r="G780" s="11"/>
      <c r="M780" s="21"/>
    </row>
    <row r="781" ht="15.75" customHeight="1">
      <c r="D781" s="19"/>
      <c r="E781" s="20"/>
      <c r="F781" s="19"/>
      <c r="G781" s="11"/>
      <c r="M781" s="21"/>
    </row>
    <row r="782" ht="15.75" customHeight="1">
      <c r="D782" s="19"/>
      <c r="E782" s="20"/>
      <c r="F782" s="19"/>
      <c r="G782" s="11"/>
      <c r="M782" s="21"/>
    </row>
    <row r="783" ht="15.75" customHeight="1">
      <c r="D783" s="19"/>
      <c r="E783" s="20"/>
      <c r="F783" s="19"/>
      <c r="G783" s="11"/>
      <c r="M783" s="21"/>
    </row>
    <row r="784" ht="15.75" customHeight="1">
      <c r="D784" s="19"/>
      <c r="E784" s="20"/>
      <c r="F784" s="19"/>
      <c r="G784" s="11"/>
      <c r="M784" s="21"/>
    </row>
    <row r="785" ht="15.75" customHeight="1">
      <c r="D785" s="19"/>
      <c r="E785" s="20"/>
      <c r="F785" s="19"/>
      <c r="G785" s="11"/>
      <c r="M785" s="21"/>
    </row>
    <row r="786" ht="15.75" customHeight="1">
      <c r="D786" s="19"/>
      <c r="E786" s="20"/>
      <c r="F786" s="19"/>
      <c r="G786" s="11"/>
      <c r="M786" s="21"/>
    </row>
    <row r="787" ht="15.75" customHeight="1">
      <c r="D787" s="19"/>
      <c r="E787" s="20"/>
      <c r="F787" s="19"/>
      <c r="G787" s="11"/>
      <c r="M787" s="21"/>
    </row>
    <row r="788" ht="15.75" customHeight="1">
      <c r="D788" s="19"/>
      <c r="E788" s="20"/>
      <c r="F788" s="19"/>
      <c r="G788" s="11"/>
      <c r="M788" s="21"/>
    </row>
    <row r="789" ht="15.75" customHeight="1">
      <c r="D789" s="19"/>
      <c r="E789" s="20"/>
      <c r="F789" s="19"/>
      <c r="G789" s="11"/>
      <c r="M789" s="21"/>
    </row>
    <row r="790" ht="15.75" customHeight="1">
      <c r="D790" s="19"/>
      <c r="E790" s="20"/>
      <c r="F790" s="19"/>
      <c r="G790" s="11"/>
      <c r="M790" s="21"/>
    </row>
    <row r="791" ht="15.75" customHeight="1">
      <c r="D791" s="19"/>
      <c r="E791" s="20"/>
      <c r="F791" s="19"/>
      <c r="G791" s="11"/>
      <c r="M791" s="21"/>
    </row>
    <row r="792" ht="15.75" customHeight="1">
      <c r="D792" s="19"/>
      <c r="E792" s="20"/>
      <c r="F792" s="19"/>
      <c r="G792" s="11"/>
      <c r="M792" s="21"/>
    </row>
    <row r="793" ht="15.75" customHeight="1">
      <c r="D793" s="19"/>
      <c r="E793" s="20"/>
      <c r="F793" s="19"/>
      <c r="G793" s="11"/>
      <c r="M793" s="21"/>
    </row>
    <row r="794" ht="15.75" customHeight="1">
      <c r="D794" s="19"/>
      <c r="E794" s="20"/>
      <c r="F794" s="19"/>
      <c r="G794" s="11"/>
      <c r="M794" s="21"/>
    </row>
    <row r="795" ht="15.75" customHeight="1">
      <c r="D795" s="19"/>
      <c r="E795" s="20"/>
      <c r="F795" s="19"/>
      <c r="G795" s="11"/>
      <c r="M795" s="21"/>
    </row>
    <row r="796" ht="15.75" customHeight="1">
      <c r="D796" s="19"/>
      <c r="E796" s="20"/>
      <c r="F796" s="19"/>
      <c r="G796" s="11"/>
      <c r="M796" s="21"/>
    </row>
    <row r="797" ht="15.75" customHeight="1">
      <c r="D797" s="19"/>
      <c r="E797" s="20"/>
      <c r="F797" s="19"/>
      <c r="G797" s="11"/>
      <c r="M797" s="21"/>
    </row>
    <row r="798" ht="15.75" customHeight="1">
      <c r="D798" s="19"/>
      <c r="E798" s="20"/>
      <c r="F798" s="19"/>
      <c r="G798" s="11"/>
      <c r="M798" s="21"/>
    </row>
    <row r="799" ht="15.75" customHeight="1">
      <c r="D799" s="19"/>
      <c r="E799" s="20"/>
      <c r="F799" s="19"/>
      <c r="G799" s="11"/>
      <c r="M799" s="21"/>
    </row>
    <row r="800" ht="15.75" customHeight="1">
      <c r="D800" s="19"/>
      <c r="E800" s="20"/>
      <c r="F800" s="19"/>
      <c r="G800" s="11"/>
      <c r="M800" s="21"/>
    </row>
    <row r="801" ht="15.75" customHeight="1">
      <c r="D801" s="19"/>
      <c r="E801" s="20"/>
      <c r="F801" s="19"/>
      <c r="G801" s="11"/>
      <c r="M801" s="21"/>
    </row>
    <row r="802" ht="15.75" customHeight="1">
      <c r="D802" s="19"/>
      <c r="E802" s="20"/>
      <c r="F802" s="19"/>
      <c r="G802" s="11"/>
      <c r="M802" s="21"/>
    </row>
    <row r="803" ht="15.75" customHeight="1">
      <c r="D803" s="19"/>
      <c r="E803" s="20"/>
      <c r="F803" s="19"/>
      <c r="G803" s="11"/>
      <c r="M803" s="21"/>
    </row>
    <row r="804" ht="15.75" customHeight="1">
      <c r="D804" s="19"/>
      <c r="E804" s="20"/>
      <c r="F804" s="19"/>
      <c r="G804" s="11"/>
      <c r="M804" s="21"/>
    </row>
    <row r="805" ht="15.75" customHeight="1">
      <c r="D805" s="19"/>
      <c r="E805" s="20"/>
      <c r="F805" s="19"/>
      <c r="G805" s="11"/>
      <c r="M805" s="21"/>
    </row>
    <row r="806" ht="15.75" customHeight="1">
      <c r="D806" s="19"/>
      <c r="E806" s="20"/>
      <c r="F806" s="19"/>
      <c r="G806" s="11"/>
      <c r="M806" s="21"/>
    </row>
    <row r="807" ht="15.75" customHeight="1">
      <c r="D807" s="19"/>
      <c r="E807" s="20"/>
      <c r="F807" s="19"/>
      <c r="G807" s="11"/>
      <c r="M807" s="21"/>
    </row>
    <row r="808" ht="15.75" customHeight="1">
      <c r="D808" s="19"/>
      <c r="E808" s="20"/>
      <c r="F808" s="19"/>
      <c r="G808" s="11"/>
      <c r="M808" s="21"/>
    </row>
    <row r="809" ht="15.75" customHeight="1">
      <c r="D809" s="19"/>
      <c r="E809" s="20"/>
      <c r="F809" s="19"/>
      <c r="G809" s="11"/>
      <c r="M809" s="21"/>
    </row>
    <row r="810" ht="15.75" customHeight="1">
      <c r="D810" s="19"/>
      <c r="E810" s="20"/>
      <c r="F810" s="19"/>
      <c r="G810" s="11"/>
      <c r="M810" s="21"/>
    </row>
    <row r="811" ht="15.75" customHeight="1">
      <c r="D811" s="19"/>
      <c r="E811" s="20"/>
      <c r="F811" s="19"/>
      <c r="G811" s="11"/>
      <c r="M811" s="21"/>
    </row>
    <row r="812" ht="15.75" customHeight="1">
      <c r="D812" s="19"/>
      <c r="E812" s="20"/>
      <c r="F812" s="19"/>
      <c r="G812" s="11"/>
      <c r="M812" s="21"/>
    </row>
    <row r="813" ht="15.75" customHeight="1">
      <c r="D813" s="19"/>
      <c r="E813" s="20"/>
      <c r="F813" s="19"/>
      <c r="G813" s="11"/>
      <c r="M813" s="21"/>
    </row>
    <row r="814" ht="15.75" customHeight="1">
      <c r="D814" s="19"/>
      <c r="E814" s="20"/>
      <c r="F814" s="19"/>
      <c r="G814" s="11"/>
      <c r="M814" s="21"/>
    </row>
    <row r="815" ht="15.75" customHeight="1">
      <c r="D815" s="19"/>
      <c r="E815" s="20"/>
      <c r="F815" s="19"/>
      <c r="G815" s="11"/>
      <c r="M815" s="21"/>
    </row>
    <row r="816" ht="15.75" customHeight="1">
      <c r="D816" s="19"/>
      <c r="E816" s="20"/>
      <c r="F816" s="19"/>
      <c r="G816" s="11"/>
      <c r="M816" s="21"/>
    </row>
    <row r="817" ht="15.75" customHeight="1">
      <c r="D817" s="19"/>
      <c r="E817" s="20"/>
      <c r="F817" s="19"/>
      <c r="G817" s="11"/>
      <c r="M817" s="21"/>
    </row>
    <row r="818" ht="15.75" customHeight="1">
      <c r="D818" s="19"/>
      <c r="E818" s="20"/>
      <c r="F818" s="19"/>
      <c r="G818" s="11"/>
      <c r="M818" s="21"/>
    </row>
    <row r="819" ht="15.75" customHeight="1">
      <c r="D819" s="19"/>
      <c r="E819" s="20"/>
      <c r="F819" s="19"/>
      <c r="G819" s="11"/>
      <c r="M819" s="21"/>
    </row>
    <row r="820" ht="15.75" customHeight="1">
      <c r="D820" s="19"/>
      <c r="E820" s="20"/>
      <c r="F820" s="19"/>
      <c r="G820" s="11"/>
      <c r="M820" s="21"/>
    </row>
    <row r="821" ht="15.75" customHeight="1">
      <c r="D821" s="19"/>
      <c r="E821" s="20"/>
      <c r="F821" s="19"/>
      <c r="G821" s="11"/>
      <c r="M821" s="21"/>
    </row>
    <row r="822" ht="15.75" customHeight="1">
      <c r="D822" s="19"/>
      <c r="E822" s="20"/>
      <c r="F822" s="19"/>
      <c r="G822" s="11"/>
      <c r="M822" s="21"/>
    </row>
    <row r="823" ht="15.75" customHeight="1">
      <c r="D823" s="19"/>
      <c r="E823" s="20"/>
      <c r="F823" s="19"/>
      <c r="G823" s="11"/>
      <c r="M823" s="21"/>
    </row>
    <row r="824" ht="15.75" customHeight="1">
      <c r="D824" s="19"/>
      <c r="E824" s="20"/>
      <c r="F824" s="19"/>
      <c r="G824" s="11"/>
      <c r="M824" s="21"/>
    </row>
    <row r="825" ht="15.75" customHeight="1">
      <c r="D825" s="19"/>
      <c r="E825" s="20"/>
      <c r="F825" s="19"/>
      <c r="G825" s="11"/>
      <c r="M825" s="21"/>
    </row>
    <row r="826" ht="15.75" customHeight="1">
      <c r="D826" s="19"/>
      <c r="E826" s="20"/>
      <c r="F826" s="19"/>
      <c r="G826" s="11"/>
      <c r="M826" s="21"/>
    </row>
    <row r="827" ht="15.75" customHeight="1">
      <c r="D827" s="19"/>
      <c r="E827" s="20"/>
      <c r="F827" s="19"/>
      <c r="G827" s="11"/>
      <c r="M827" s="21"/>
    </row>
    <row r="828" ht="15.75" customHeight="1">
      <c r="D828" s="19"/>
      <c r="E828" s="20"/>
      <c r="F828" s="19"/>
      <c r="G828" s="11"/>
      <c r="M828" s="21"/>
    </row>
    <row r="829" ht="15.75" customHeight="1">
      <c r="D829" s="19"/>
      <c r="E829" s="20"/>
      <c r="F829" s="19"/>
      <c r="G829" s="11"/>
      <c r="M829" s="21"/>
    </row>
    <row r="830" ht="15.75" customHeight="1">
      <c r="D830" s="19"/>
      <c r="E830" s="20"/>
      <c r="F830" s="19"/>
      <c r="G830" s="11"/>
      <c r="M830" s="21"/>
    </row>
    <row r="831" ht="15.75" customHeight="1">
      <c r="D831" s="19"/>
      <c r="E831" s="20"/>
      <c r="F831" s="19"/>
      <c r="G831" s="11"/>
      <c r="M831" s="21"/>
    </row>
    <row r="832" ht="15.75" customHeight="1">
      <c r="D832" s="19"/>
      <c r="E832" s="20"/>
      <c r="F832" s="19"/>
      <c r="G832" s="11"/>
      <c r="M832" s="21"/>
    </row>
    <row r="833" ht="15.75" customHeight="1">
      <c r="D833" s="19"/>
      <c r="E833" s="20"/>
      <c r="F833" s="19"/>
      <c r="G833" s="11"/>
      <c r="M833" s="21"/>
    </row>
    <row r="834" ht="15.75" customHeight="1">
      <c r="D834" s="19"/>
      <c r="E834" s="20"/>
      <c r="F834" s="19"/>
      <c r="G834" s="11"/>
      <c r="M834" s="21"/>
    </row>
    <row r="835" ht="15.75" customHeight="1">
      <c r="D835" s="19"/>
      <c r="E835" s="20"/>
      <c r="F835" s="19"/>
      <c r="G835" s="11"/>
      <c r="M835" s="21"/>
    </row>
    <row r="836" ht="15.75" customHeight="1">
      <c r="D836" s="19"/>
      <c r="E836" s="20"/>
      <c r="F836" s="19"/>
      <c r="G836" s="11"/>
      <c r="M836" s="21"/>
    </row>
    <row r="837" ht="15.75" customHeight="1">
      <c r="D837" s="19"/>
      <c r="E837" s="20"/>
      <c r="F837" s="19"/>
      <c r="G837" s="11"/>
      <c r="M837" s="21"/>
    </row>
    <row r="838" ht="15.75" customHeight="1">
      <c r="D838" s="19"/>
      <c r="E838" s="20"/>
      <c r="F838" s="19"/>
      <c r="G838" s="11"/>
      <c r="M838" s="21"/>
    </row>
    <row r="839" ht="15.75" customHeight="1">
      <c r="D839" s="19"/>
      <c r="E839" s="20"/>
      <c r="F839" s="19"/>
      <c r="G839" s="11"/>
      <c r="M839" s="21"/>
    </row>
    <row r="840" ht="15.75" customHeight="1">
      <c r="D840" s="19"/>
      <c r="E840" s="20"/>
      <c r="F840" s="19"/>
      <c r="G840" s="11"/>
      <c r="M840" s="21"/>
    </row>
    <row r="841" ht="15.75" customHeight="1">
      <c r="D841" s="19"/>
      <c r="E841" s="20"/>
      <c r="F841" s="19"/>
      <c r="G841" s="11"/>
      <c r="M841" s="21"/>
    </row>
    <row r="842" ht="15.75" customHeight="1">
      <c r="D842" s="19"/>
      <c r="E842" s="20"/>
      <c r="F842" s="19"/>
      <c r="G842" s="11"/>
      <c r="M842" s="21"/>
    </row>
    <row r="843" ht="15.75" customHeight="1">
      <c r="D843" s="19"/>
      <c r="E843" s="20"/>
      <c r="F843" s="19"/>
      <c r="G843" s="11"/>
      <c r="M843" s="21"/>
    </row>
    <row r="844" ht="15.75" customHeight="1">
      <c r="D844" s="19"/>
      <c r="E844" s="20"/>
      <c r="F844" s="19"/>
      <c r="G844" s="11"/>
      <c r="M844" s="21"/>
    </row>
    <row r="845" ht="15.75" customHeight="1">
      <c r="D845" s="19"/>
      <c r="E845" s="20"/>
      <c r="F845" s="19"/>
      <c r="G845" s="11"/>
      <c r="M845" s="21"/>
    </row>
    <row r="846" ht="15.75" customHeight="1">
      <c r="D846" s="19"/>
      <c r="E846" s="20"/>
      <c r="F846" s="19"/>
      <c r="G846" s="11"/>
      <c r="M846" s="21"/>
    </row>
    <row r="847" ht="15.75" customHeight="1">
      <c r="D847" s="19"/>
      <c r="E847" s="20"/>
      <c r="F847" s="19"/>
      <c r="G847" s="11"/>
      <c r="M847" s="21"/>
    </row>
    <row r="848" ht="15.75" customHeight="1">
      <c r="D848" s="19"/>
      <c r="E848" s="20"/>
      <c r="F848" s="19"/>
      <c r="G848" s="11"/>
      <c r="M848" s="21"/>
    </row>
    <row r="849" ht="15.75" customHeight="1">
      <c r="D849" s="19"/>
      <c r="E849" s="20"/>
      <c r="F849" s="19"/>
      <c r="G849" s="11"/>
      <c r="M849" s="21"/>
    </row>
    <row r="850" ht="15.75" customHeight="1">
      <c r="D850" s="19"/>
      <c r="E850" s="20"/>
      <c r="F850" s="19"/>
      <c r="G850" s="11"/>
      <c r="M850" s="21"/>
    </row>
    <row r="851" ht="15.75" customHeight="1">
      <c r="D851" s="19"/>
      <c r="E851" s="20"/>
      <c r="F851" s="19"/>
      <c r="G851" s="11"/>
      <c r="M851" s="21"/>
    </row>
    <row r="852" ht="15.75" customHeight="1">
      <c r="D852" s="19"/>
      <c r="E852" s="20"/>
      <c r="F852" s="19"/>
      <c r="G852" s="11"/>
      <c r="M852" s="21"/>
    </row>
    <row r="853" ht="15.75" customHeight="1">
      <c r="D853" s="19"/>
      <c r="E853" s="20"/>
      <c r="F853" s="19"/>
      <c r="G853" s="11"/>
      <c r="M853" s="21"/>
    </row>
    <row r="854" ht="15.75" customHeight="1">
      <c r="D854" s="19"/>
      <c r="E854" s="20"/>
      <c r="F854" s="19"/>
      <c r="G854" s="11"/>
      <c r="M854" s="21"/>
    </row>
    <row r="855" ht="15.75" customHeight="1">
      <c r="D855" s="19"/>
      <c r="E855" s="20"/>
      <c r="F855" s="19"/>
      <c r="G855" s="11"/>
      <c r="M855" s="21"/>
    </row>
    <row r="856" ht="15.75" customHeight="1">
      <c r="D856" s="19"/>
      <c r="E856" s="20"/>
      <c r="F856" s="19"/>
      <c r="G856" s="11"/>
      <c r="M856" s="21"/>
    </row>
    <row r="857" ht="15.75" customHeight="1">
      <c r="D857" s="19"/>
      <c r="E857" s="20"/>
      <c r="F857" s="19"/>
      <c r="G857" s="11"/>
      <c r="M857" s="21"/>
    </row>
    <row r="858" ht="15.75" customHeight="1">
      <c r="D858" s="19"/>
      <c r="E858" s="20"/>
      <c r="F858" s="19"/>
      <c r="G858" s="11"/>
      <c r="M858" s="21"/>
    </row>
    <row r="859" ht="15.75" customHeight="1">
      <c r="D859" s="19"/>
      <c r="E859" s="20"/>
      <c r="F859" s="19"/>
      <c r="G859" s="11"/>
      <c r="M859" s="21"/>
    </row>
    <row r="860" ht="15.75" customHeight="1">
      <c r="D860" s="19"/>
      <c r="E860" s="20"/>
      <c r="F860" s="19"/>
      <c r="G860" s="11"/>
      <c r="M860" s="21"/>
    </row>
    <row r="861" ht="15.75" customHeight="1">
      <c r="D861" s="19"/>
      <c r="E861" s="20"/>
      <c r="F861" s="19"/>
      <c r="G861" s="11"/>
      <c r="M861" s="21"/>
    </row>
    <row r="862" ht="15.75" customHeight="1">
      <c r="D862" s="19"/>
      <c r="E862" s="20"/>
      <c r="F862" s="19"/>
      <c r="G862" s="11"/>
      <c r="M862" s="21"/>
    </row>
    <row r="863" ht="15.75" customHeight="1">
      <c r="D863" s="19"/>
      <c r="E863" s="20"/>
      <c r="F863" s="19"/>
      <c r="G863" s="11"/>
      <c r="M863" s="21"/>
    </row>
    <row r="864" ht="15.75" customHeight="1">
      <c r="D864" s="19"/>
      <c r="E864" s="20"/>
      <c r="F864" s="19"/>
      <c r="G864" s="11"/>
      <c r="M864" s="21"/>
    </row>
    <row r="865" ht="15.75" customHeight="1">
      <c r="D865" s="19"/>
      <c r="E865" s="20"/>
      <c r="F865" s="19"/>
      <c r="G865" s="11"/>
      <c r="M865" s="21"/>
    </row>
    <row r="866" ht="15.75" customHeight="1">
      <c r="D866" s="19"/>
      <c r="E866" s="20"/>
      <c r="F866" s="19"/>
      <c r="G866" s="11"/>
      <c r="M866" s="21"/>
    </row>
    <row r="867" ht="15.75" customHeight="1">
      <c r="D867" s="19"/>
      <c r="E867" s="20"/>
      <c r="F867" s="19"/>
      <c r="G867" s="11"/>
      <c r="M867" s="21"/>
    </row>
    <row r="868" ht="15.75" customHeight="1">
      <c r="D868" s="19"/>
      <c r="E868" s="20"/>
      <c r="F868" s="19"/>
      <c r="G868" s="11"/>
      <c r="M868" s="21"/>
    </row>
    <row r="869" ht="15.75" customHeight="1">
      <c r="D869" s="19"/>
      <c r="E869" s="20"/>
      <c r="F869" s="19"/>
      <c r="G869" s="11"/>
      <c r="M869" s="21"/>
    </row>
    <row r="870" ht="15.75" customHeight="1">
      <c r="D870" s="19"/>
      <c r="E870" s="20"/>
      <c r="F870" s="19"/>
      <c r="G870" s="11"/>
      <c r="M870" s="21"/>
    </row>
    <row r="871" ht="15.75" customHeight="1">
      <c r="D871" s="19"/>
      <c r="E871" s="20"/>
      <c r="F871" s="19"/>
      <c r="G871" s="11"/>
      <c r="M871" s="21"/>
    </row>
    <row r="872" ht="15.75" customHeight="1">
      <c r="D872" s="19"/>
      <c r="E872" s="20"/>
      <c r="F872" s="19"/>
      <c r="G872" s="11"/>
      <c r="M872" s="21"/>
    </row>
    <row r="873" ht="15.75" customHeight="1">
      <c r="D873" s="19"/>
      <c r="E873" s="20"/>
      <c r="F873" s="19"/>
      <c r="G873" s="11"/>
      <c r="M873" s="21"/>
    </row>
    <row r="874" ht="15.75" customHeight="1">
      <c r="D874" s="19"/>
      <c r="E874" s="20"/>
      <c r="F874" s="19"/>
      <c r="G874" s="11"/>
      <c r="M874" s="21"/>
    </row>
    <row r="875" ht="15.75" customHeight="1">
      <c r="D875" s="19"/>
      <c r="E875" s="20"/>
      <c r="F875" s="19"/>
      <c r="G875" s="11"/>
      <c r="M875" s="21"/>
    </row>
    <row r="876" ht="15.75" customHeight="1">
      <c r="D876" s="19"/>
      <c r="E876" s="20"/>
      <c r="F876" s="19"/>
      <c r="G876" s="11"/>
      <c r="M876" s="21"/>
    </row>
    <row r="877" ht="15.75" customHeight="1">
      <c r="D877" s="19"/>
      <c r="E877" s="20"/>
      <c r="F877" s="19"/>
      <c r="G877" s="11"/>
      <c r="M877" s="21"/>
    </row>
    <row r="878" ht="15.75" customHeight="1">
      <c r="D878" s="19"/>
      <c r="E878" s="20"/>
      <c r="F878" s="19"/>
      <c r="G878" s="11"/>
      <c r="M878" s="21"/>
    </row>
    <row r="879" ht="15.75" customHeight="1">
      <c r="D879" s="19"/>
      <c r="E879" s="20"/>
      <c r="F879" s="19"/>
      <c r="G879" s="11"/>
      <c r="M879" s="21"/>
    </row>
    <row r="880" ht="15.75" customHeight="1">
      <c r="D880" s="19"/>
      <c r="E880" s="20"/>
      <c r="F880" s="19"/>
      <c r="G880" s="11"/>
      <c r="M880" s="21"/>
    </row>
    <row r="881" ht="15.75" customHeight="1">
      <c r="D881" s="19"/>
      <c r="E881" s="20"/>
      <c r="F881" s="19"/>
      <c r="G881" s="11"/>
      <c r="M881" s="21"/>
    </row>
    <row r="882" ht="15.75" customHeight="1">
      <c r="D882" s="19"/>
      <c r="E882" s="20"/>
      <c r="F882" s="19"/>
      <c r="G882" s="11"/>
      <c r="M882" s="21"/>
    </row>
    <row r="883" ht="15.75" customHeight="1">
      <c r="D883" s="19"/>
      <c r="E883" s="20"/>
      <c r="F883" s="19"/>
      <c r="G883" s="11"/>
      <c r="M883" s="21"/>
    </row>
    <row r="884" ht="15.75" customHeight="1">
      <c r="D884" s="19"/>
      <c r="E884" s="20"/>
      <c r="F884" s="19"/>
      <c r="G884" s="11"/>
      <c r="M884" s="21"/>
    </row>
    <row r="885" ht="15.75" customHeight="1">
      <c r="D885" s="19"/>
      <c r="E885" s="20"/>
      <c r="F885" s="19"/>
      <c r="G885" s="11"/>
      <c r="M885" s="21"/>
    </row>
    <row r="886" ht="15.75" customHeight="1">
      <c r="D886" s="19"/>
      <c r="E886" s="20"/>
      <c r="F886" s="19"/>
      <c r="G886" s="11"/>
      <c r="M886" s="21"/>
    </row>
    <row r="887" ht="15.75" customHeight="1">
      <c r="D887" s="19"/>
      <c r="E887" s="20"/>
      <c r="F887" s="19"/>
      <c r="G887" s="11"/>
      <c r="M887" s="21"/>
    </row>
    <row r="888" ht="15.75" customHeight="1">
      <c r="D888" s="19"/>
      <c r="E888" s="20"/>
      <c r="F888" s="19"/>
      <c r="G888" s="11"/>
      <c r="M888" s="21"/>
    </row>
    <row r="889" ht="15.75" customHeight="1">
      <c r="D889" s="19"/>
      <c r="E889" s="20"/>
      <c r="F889" s="19"/>
      <c r="G889" s="11"/>
      <c r="M889" s="21"/>
    </row>
    <row r="890" ht="15.75" customHeight="1">
      <c r="D890" s="19"/>
      <c r="E890" s="20"/>
      <c r="F890" s="19"/>
      <c r="G890" s="11"/>
      <c r="M890" s="21"/>
    </row>
    <row r="891" ht="15.75" customHeight="1">
      <c r="D891" s="19"/>
      <c r="E891" s="20"/>
      <c r="F891" s="19"/>
      <c r="G891" s="11"/>
      <c r="M891" s="21"/>
    </row>
    <row r="892" ht="15.75" customHeight="1">
      <c r="D892" s="19"/>
      <c r="E892" s="20"/>
      <c r="F892" s="19"/>
      <c r="G892" s="11"/>
      <c r="M892" s="21"/>
    </row>
    <row r="893" ht="15.75" customHeight="1">
      <c r="D893" s="19"/>
      <c r="E893" s="20"/>
      <c r="F893" s="19"/>
      <c r="G893" s="11"/>
      <c r="M893" s="21"/>
    </row>
    <row r="894" ht="15.75" customHeight="1">
      <c r="D894" s="19"/>
      <c r="E894" s="20"/>
      <c r="F894" s="19"/>
      <c r="G894" s="11"/>
      <c r="M894" s="21"/>
    </row>
    <row r="895" ht="15.75" customHeight="1">
      <c r="D895" s="19"/>
      <c r="E895" s="20"/>
      <c r="F895" s="19"/>
      <c r="G895" s="11"/>
      <c r="M895" s="21"/>
    </row>
    <row r="896" ht="15.75" customHeight="1">
      <c r="D896" s="19"/>
      <c r="E896" s="20"/>
      <c r="F896" s="19"/>
      <c r="G896" s="11"/>
      <c r="M896" s="21"/>
    </row>
    <row r="897" ht="15.75" customHeight="1">
      <c r="D897" s="19"/>
      <c r="E897" s="20"/>
      <c r="F897" s="19"/>
      <c r="G897" s="11"/>
      <c r="M897" s="21"/>
    </row>
    <row r="898" ht="15.75" customHeight="1">
      <c r="D898" s="19"/>
      <c r="E898" s="20"/>
      <c r="F898" s="19"/>
      <c r="G898" s="11"/>
      <c r="M898" s="21"/>
    </row>
    <row r="899" ht="15.75" customHeight="1">
      <c r="D899" s="19"/>
      <c r="E899" s="20"/>
      <c r="F899" s="19"/>
      <c r="G899" s="11"/>
      <c r="M899" s="21"/>
    </row>
    <row r="900" ht="15.75" customHeight="1">
      <c r="D900" s="19"/>
      <c r="E900" s="20"/>
      <c r="F900" s="19"/>
      <c r="G900" s="11"/>
      <c r="M900" s="21"/>
    </row>
    <row r="901" ht="15.75" customHeight="1">
      <c r="D901" s="19"/>
      <c r="E901" s="20"/>
      <c r="F901" s="19"/>
      <c r="G901" s="11"/>
      <c r="M901" s="21"/>
    </row>
    <row r="902" ht="15.75" customHeight="1">
      <c r="D902" s="19"/>
      <c r="E902" s="20"/>
      <c r="F902" s="19"/>
      <c r="G902" s="11"/>
      <c r="M902" s="21"/>
    </row>
    <row r="903" ht="15.75" customHeight="1">
      <c r="D903" s="19"/>
      <c r="E903" s="20"/>
      <c r="F903" s="19"/>
      <c r="G903" s="11"/>
      <c r="M903" s="21"/>
    </row>
    <row r="904" ht="15.75" customHeight="1">
      <c r="D904" s="19"/>
      <c r="E904" s="20"/>
      <c r="F904" s="19"/>
      <c r="G904" s="11"/>
      <c r="M904" s="21"/>
    </row>
    <row r="905" ht="15.75" customHeight="1">
      <c r="D905" s="19"/>
      <c r="E905" s="20"/>
      <c r="F905" s="19"/>
      <c r="G905" s="11"/>
      <c r="M905" s="21"/>
    </row>
    <row r="906" ht="15.75" customHeight="1">
      <c r="D906" s="19"/>
      <c r="E906" s="20"/>
      <c r="F906" s="19"/>
      <c r="G906" s="11"/>
      <c r="M906" s="21"/>
    </row>
    <row r="907" ht="15.75" customHeight="1">
      <c r="D907" s="19"/>
      <c r="E907" s="20"/>
      <c r="F907" s="19"/>
      <c r="G907" s="11"/>
      <c r="M907" s="21"/>
    </row>
    <row r="908" ht="15.75" customHeight="1">
      <c r="D908" s="19"/>
      <c r="E908" s="20"/>
      <c r="F908" s="19"/>
      <c r="G908" s="11"/>
      <c r="M908" s="21"/>
    </row>
    <row r="909" ht="15.75" customHeight="1">
      <c r="D909" s="19"/>
      <c r="E909" s="20"/>
      <c r="F909" s="19"/>
      <c r="G909" s="11"/>
      <c r="M909" s="21"/>
    </row>
    <row r="910" ht="15.75" customHeight="1">
      <c r="D910" s="19"/>
      <c r="E910" s="20"/>
      <c r="F910" s="19"/>
      <c r="G910" s="11"/>
      <c r="M910" s="21"/>
    </row>
    <row r="911" ht="15.75" customHeight="1">
      <c r="D911" s="19"/>
      <c r="E911" s="20"/>
      <c r="F911" s="19"/>
      <c r="G911" s="11"/>
      <c r="M911" s="21"/>
    </row>
    <row r="912" ht="15.75" customHeight="1">
      <c r="D912" s="19"/>
      <c r="E912" s="20"/>
      <c r="F912" s="19"/>
      <c r="G912" s="11"/>
      <c r="M912" s="21"/>
    </row>
    <row r="913" ht="15.75" customHeight="1">
      <c r="D913" s="19"/>
      <c r="E913" s="20"/>
      <c r="F913" s="19"/>
      <c r="G913" s="11"/>
      <c r="M913" s="21"/>
    </row>
    <row r="914" ht="15.75" customHeight="1">
      <c r="D914" s="19"/>
      <c r="E914" s="20"/>
      <c r="F914" s="19"/>
      <c r="G914" s="11"/>
      <c r="M914" s="21"/>
    </row>
    <row r="915" ht="15.75" customHeight="1">
      <c r="D915" s="19"/>
      <c r="E915" s="20"/>
      <c r="F915" s="19"/>
      <c r="G915" s="11"/>
      <c r="M915" s="21"/>
    </row>
    <row r="916" ht="15.75" customHeight="1">
      <c r="D916" s="19"/>
      <c r="E916" s="20"/>
      <c r="F916" s="19"/>
      <c r="G916" s="11"/>
      <c r="M916" s="21"/>
    </row>
    <row r="917" ht="15.75" customHeight="1">
      <c r="D917" s="19"/>
      <c r="E917" s="20"/>
      <c r="F917" s="19"/>
      <c r="G917" s="11"/>
      <c r="M917" s="21"/>
    </row>
    <row r="918" ht="15.75" customHeight="1">
      <c r="D918" s="19"/>
      <c r="E918" s="20"/>
      <c r="F918" s="19"/>
      <c r="G918" s="11"/>
      <c r="M918" s="21"/>
    </row>
    <row r="919" ht="15.75" customHeight="1">
      <c r="D919" s="19"/>
      <c r="E919" s="20"/>
      <c r="F919" s="19"/>
      <c r="G919" s="11"/>
      <c r="M919" s="21"/>
    </row>
    <row r="920" ht="15.75" customHeight="1">
      <c r="D920" s="19"/>
      <c r="E920" s="20"/>
      <c r="F920" s="19"/>
      <c r="G920" s="11"/>
      <c r="M920" s="21"/>
    </row>
    <row r="921" ht="15.75" customHeight="1">
      <c r="D921" s="19"/>
      <c r="E921" s="20"/>
      <c r="F921" s="19"/>
      <c r="G921" s="11"/>
      <c r="M921" s="21"/>
    </row>
    <row r="922" ht="15.75" customHeight="1">
      <c r="D922" s="19"/>
      <c r="E922" s="20"/>
      <c r="F922" s="19"/>
      <c r="G922" s="11"/>
      <c r="M922" s="21"/>
    </row>
    <row r="923" ht="15.75" customHeight="1">
      <c r="D923" s="19"/>
      <c r="E923" s="20"/>
      <c r="F923" s="19"/>
      <c r="G923" s="11"/>
      <c r="M923" s="21"/>
    </row>
    <row r="924" ht="15.75" customHeight="1">
      <c r="D924" s="19"/>
      <c r="E924" s="20"/>
      <c r="F924" s="19"/>
      <c r="G924" s="11"/>
      <c r="M924" s="21"/>
    </row>
    <row r="925" ht="15.75" customHeight="1">
      <c r="D925" s="19"/>
      <c r="E925" s="20"/>
      <c r="F925" s="19"/>
      <c r="G925" s="11"/>
      <c r="M925" s="21"/>
    </row>
    <row r="926" ht="15.75" customHeight="1">
      <c r="D926" s="19"/>
      <c r="E926" s="20"/>
      <c r="F926" s="19"/>
      <c r="G926" s="11"/>
      <c r="M926" s="21"/>
    </row>
    <row r="927" ht="15.75" customHeight="1">
      <c r="D927" s="19"/>
      <c r="E927" s="20"/>
      <c r="F927" s="19"/>
      <c r="G927" s="11"/>
      <c r="M927" s="21"/>
    </row>
    <row r="928" ht="15.75" customHeight="1">
      <c r="D928" s="19"/>
      <c r="E928" s="20"/>
      <c r="F928" s="19"/>
      <c r="G928" s="11"/>
      <c r="M928" s="21"/>
    </row>
    <row r="929" ht="15.75" customHeight="1">
      <c r="D929" s="19"/>
      <c r="E929" s="20"/>
      <c r="F929" s="19"/>
      <c r="G929" s="11"/>
      <c r="M929" s="21"/>
    </row>
    <row r="930" ht="15.75" customHeight="1">
      <c r="D930" s="19"/>
      <c r="E930" s="20"/>
      <c r="F930" s="19"/>
      <c r="G930" s="11"/>
      <c r="M930" s="21"/>
    </row>
    <row r="931" ht="15.75" customHeight="1">
      <c r="D931" s="19"/>
      <c r="E931" s="20"/>
      <c r="F931" s="19"/>
      <c r="G931" s="11"/>
      <c r="M931" s="21"/>
    </row>
    <row r="932" ht="15.75" customHeight="1">
      <c r="D932" s="19"/>
      <c r="E932" s="20"/>
      <c r="F932" s="19"/>
      <c r="G932" s="11"/>
      <c r="M932" s="21"/>
    </row>
    <row r="933" ht="15.75" customHeight="1">
      <c r="D933" s="19"/>
      <c r="E933" s="20"/>
      <c r="F933" s="19"/>
      <c r="G933" s="11"/>
      <c r="M933" s="21"/>
    </row>
    <row r="934" ht="15.75" customHeight="1">
      <c r="D934" s="19"/>
      <c r="E934" s="20"/>
      <c r="F934" s="19"/>
      <c r="G934" s="11"/>
      <c r="M934" s="21"/>
    </row>
    <row r="935" ht="15.75" customHeight="1">
      <c r="D935" s="19"/>
      <c r="E935" s="20"/>
      <c r="F935" s="19"/>
      <c r="G935" s="11"/>
      <c r="M935" s="21"/>
    </row>
    <row r="936" ht="15.75" customHeight="1">
      <c r="D936" s="19"/>
      <c r="E936" s="20"/>
      <c r="F936" s="19"/>
      <c r="G936" s="11"/>
      <c r="M936" s="21"/>
    </row>
    <row r="937" ht="15.75" customHeight="1">
      <c r="D937" s="19"/>
      <c r="E937" s="20"/>
      <c r="F937" s="19"/>
      <c r="G937" s="11"/>
      <c r="M937" s="21"/>
    </row>
    <row r="938" ht="15.75" customHeight="1">
      <c r="D938" s="19"/>
      <c r="E938" s="20"/>
      <c r="F938" s="19"/>
      <c r="G938" s="11"/>
      <c r="M938" s="21"/>
    </row>
    <row r="939" ht="15.75" customHeight="1">
      <c r="D939" s="19"/>
      <c r="E939" s="20"/>
      <c r="F939" s="19"/>
      <c r="G939" s="11"/>
      <c r="M939" s="21"/>
    </row>
    <row r="940" ht="15.75" customHeight="1">
      <c r="D940" s="19"/>
      <c r="E940" s="20"/>
      <c r="F940" s="19"/>
      <c r="G940" s="11"/>
      <c r="M940" s="21"/>
    </row>
    <row r="941" ht="15.75" customHeight="1">
      <c r="D941" s="19"/>
      <c r="E941" s="20"/>
      <c r="F941" s="19"/>
      <c r="G941" s="11"/>
      <c r="M941" s="21"/>
    </row>
    <row r="942" ht="15.75" customHeight="1">
      <c r="D942" s="19"/>
      <c r="E942" s="20"/>
      <c r="F942" s="19"/>
      <c r="G942" s="11"/>
      <c r="M942" s="21"/>
    </row>
    <row r="943" ht="15.75" customHeight="1">
      <c r="D943" s="19"/>
      <c r="E943" s="20"/>
      <c r="F943" s="19"/>
      <c r="G943" s="11"/>
      <c r="M943" s="21"/>
    </row>
    <row r="944" ht="15.75" customHeight="1">
      <c r="D944" s="19"/>
      <c r="E944" s="20"/>
      <c r="F944" s="19"/>
      <c r="G944" s="11"/>
      <c r="M944" s="21"/>
    </row>
    <row r="945" ht="15.75" customHeight="1">
      <c r="D945" s="19"/>
      <c r="E945" s="20"/>
      <c r="F945" s="19"/>
      <c r="G945" s="11"/>
      <c r="M945" s="21"/>
    </row>
    <row r="946" ht="15.75" customHeight="1">
      <c r="D946" s="19"/>
      <c r="E946" s="20"/>
      <c r="F946" s="19"/>
      <c r="G946" s="11"/>
      <c r="M946" s="21"/>
    </row>
    <row r="947" ht="15.75" customHeight="1">
      <c r="D947" s="19"/>
      <c r="E947" s="20"/>
      <c r="F947" s="19"/>
      <c r="G947" s="11"/>
      <c r="M947" s="21"/>
    </row>
    <row r="948" ht="15.75" customHeight="1">
      <c r="D948" s="19"/>
      <c r="E948" s="20"/>
      <c r="F948" s="19"/>
      <c r="G948" s="11"/>
      <c r="M948" s="21"/>
    </row>
    <row r="949" ht="15.75" customHeight="1">
      <c r="D949" s="19"/>
      <c r="E949" s="20"/>
      <c r="F949" s="19"/>
      <c r="G949" s="11"/>
      <c r="M949" s="21"/>
    </row>
    <row r="950" ht="15.75" customHeight="1">
      <c r="D950" s="19"/>
      <c r="E950" s="20"/>
      <c r="F950" s="19"/>
      <c r="G950" s="11"/>
      <c r="M950" s="21"/>
    </row>
    <row r="951" ht="15.75" customHeight="1">
      <c r="D951" s="19"/>
      <c r="E951" s="20"/>
      <c r="F951" s="19"/>
      <c r="G951" s="11"/>
      <c r="M951" s="21"/>
    </row>
    <row r="952" ht="15.75" customHeight="1">
      <c r="D952" s="19"/>
      <c r="E952" s="20"/>
      <c r="F952" s="19"/>
      <c r="G952" s="11"/>
      <c r="M952" s="21"/>
    </row>
    <row r="953" ht="15.75" customHeight="1">
      <c r="D953" s="19"/>
      <c r="E953" s="20"/>
      <c r="F953" s="19"/>
      <c r="G953" s="11"/>
      <c r="M953" s="21"/>
    </row>
    <row r="954" ht="15.75" customHeight="1">
      <c r="D954" s="19"/>
      <c r="E954" s="20"/>
      <c r="F954" s="19"/>
      <c r="G954" s="11"/>
      <c r="M954" s="21"/>
    </row>
    <row r="955" ht="15.75" customHeight="1">
      <c r="D955" s="19"/>
      <c r="E955" s="20"/>
      <c r="F955" s="19"/>
      <c r="G955" s="11"/>
      <c r="M955" s="21"/>
    </row>
    <row r="956" ht="15.75" customHeight="1">
      <c r="D956" s="19"/>
      <c r="E956" s="20"/>
      <c r="F956" s="19"/>
      <c r="G956" s="11"/>
      <c r="M956" s="21"/>
    </row>
    <row r="957" ht="15.75" customHeight="1">
      <c r="D957" s="19"/>
      <c r="E957" s="20"/>
      <c r="F957" s="19"/>
      <c r="G957" s="11"/>
      <c r="M957" s="21"/>
    </row>
    <row r="958" ht="15.75" customHeight="1">
      <c r="D958" s="19"/>
      <c r="E958" s="20"/>
      <c r="F958" s="19"/>
      <c r="G958" s="11"/>
      <c r="M958" s="21"/>
    </row>
    <row r="959" ht="15.75" customHeight="1">
      <c r="D959" s="19"/>
      <c r="E959" s="20"/>
      <c r="F959" s="19"/>
      <c r="G959" s="11"/>
      <c r="M959" s="21"/>
    </row>
    <row r="960" ht="15.75" customHeight="1">
      <c r="D960" s="19"/>
      <c r="E960" s="20"/>
      <c r="F960" s="19"/>
      <c r="G960" s="11"/>
      <c r="M960" s="21"/>
    </row>
    <row r="961" ht="15.75" customHeight="1">
      <c r="D961" s="19"/>
      <c r="E961" s="20"/>
      <c r="F961" s="19"/>
      <c r="G961" s="11"/>
      <c r="M961" s="21"/>
    </row>
    <row r="962" ht="15.75" customHeight="1">
      <c r="D962" s="19"/>
      <c r="E962" s="20"/>
      <c r="F962" s="19"/>
      <c r="G962" s="11"/>
      <c r="M962" s="21"/>
    </row>
    <row r="963" ht="15.75" customHeight="1">
      <c r="D963" s="19"/>
      <c r="E963" s="20"/>
      <c r="F963" s="19"/>
      <c r="G963" s="11"/>
      <c r="M963" s="21"/>
    </row>
    <row r="964" ht="15.75" customHeight="1">
      <c r="D964" s="19"/>
      <c r="E964" s="20"/>
      <c r="F964" s="19"/>
      <c r="G964" s="11"/>
      <c r="M964" s="21"/>
    </row>
    <row r="965" ht="15.75" customHeight="1">
      <c r="D965" s="19"/>
      <c r="E965" s="20"/>
      <c r="F965" s="19"/>
      <c r="G965" s="11"/>
      <c r="M965" s="21"/>
    </row>
    <row r="966" ht="15.75" customHeight="1">
      <c r="D966" s="19"/>
      <c r="E966" s="20"/>
      <c r="F966" s="19"/>
      <c r="G966" s="11"/>
      <c r="M966" s="21"/>
    </row>
    <row r="967" ht="15.75" customHeight="1">
      <c r="D967" s="19"/>
      <c r="E967" s="20"/>
      <c r="F967" s="19"/>
      <c r="G967" s="11"/>
      <c r="M967" s="21"/>
    </row>
    <row r="968" ht="15.75" customHeight="1">
      <c r="D968" s="19"/>
      <c r="E968" s="20"/>
      <c r="F968" s="19"/>
      <c r="G968" s="11"/>
      <c r="M968" s="21"/>
    </row>
    <row r="969" ht="15.75" customHeight="1">
      <c r="D969" s="19"/>
      <c r="E969" s="20"/>
      <c r="F969" s="19"/>
      <c r="G969" s="11"/>
      <c r="M969" s="21"/>
    </row>
    <row r="970" ht="15.75" customHeight="1">
      <c r="D970" s="19"/>
      <c r="E970" s="20"/>
      <c r="F970" s="19"/>
      <c r="G970" s="11"/>
      <c r="M970" s="21"/>
    </row>
    <row r="971" ht="15.75" customHeight="1">
      <c r="D971" s="19"/>
      <c r="E971" s="20"/>
      <c r="F971" s="19"/>
      <c r="G971" s="11"/>
      <c r="M971" s="21"/>
    </row>
    <row r="972" ht="15.75" customHeight="1">
      <c r="D972" s="19"/>
      <c r="E972" s="20"/>
      <c r="F972" s="19"/>
      <c r="G972" s="11"/>
      <c r="M972" s="21"/>
    </row>
    <row r="973" ht="15.75" customHeight="1">
      <c r="D973" s="19"/>
      <c r="E973" s="20"/>
      <c r="F973" s="19"/>
      <c r="G973" s="11"/>
      <c r="M973" s="21"/>
    </row>
    <row r="974" ht="15.75" customHeight="1">
      <c r="D974" s="19"/>
      <c r="E974" s="20"/>
      <c r="F974" s="19"/>
      <c r="G974" s="11"/>
      <c r="M974" s="21"/>
    </row>
    <row r="975" ht="15.75" customHeight="1">
      <c r="D975" s="19"/>
      <c r="E975" s="20"/>
      <c r="F975" s="19"/>
      <c r="G975" s="11"/>
      <c r="M975" s="21"/>
    </row>
    <row r="976" ht="15.75" customHeight="1">
      <c r="D976" s="19"/>
      <c r="E976" s="20"/>
      <c r="F976" s="19"/>
      <c r="G976" s="11"/>
      <c r="M976" s="21"/>
    </row>
    <row r="977" ht="15.75" customHeight="1">
      <c r="D977" s="19"/>
      <c r="E977" s="20"/>
      <c r="F977" s="19"/>
      <c r="G977" s="11"/>
      <c r="M977" s="21"/>
    </row>
    <row r="978" ht="15.75" customHeight="1">
      <c r="D978" s="19"/>
      <c r="E978" s="20"/>
      <c r="F978" s="19"/>
      <c r="G978" s="11"/>
      <c r="M978" s="21"/>
    </row>
    <row r="979" ht="15.75" customHeight="1">
      <c r="D979" s="19"/>
      <c r="E979" s="20"/>
      <c r="F979" s="19"/>
      <c r="G979" s="11"/>
      <c r="M979" s="21"/>
    </row>
    <row r="980" ht="15.75" customHeight="1">
      <c r="D980" s="19"/>
      <c r="E980" s="20"/>
      <c r="F980" s="19"/>
      <c r="G980" s="11"/>
      <c r="M980" s="21"/>
    </row>
    <row r="981" ht="15.75" customHeight="1">
      <c r="D981" s="19"/>
      <c r="E981" s="20"/>
      <c r="F981" s="19"/>
      <c r="G981" s="11"/>
      <c r="M981" s="21"/>
    </row>
    <row r="982" ht="15.75" customHeight="1">
      <c r="D982" s="19"/>
      <c r="E982" s="20"/>
      <c r="F982" s="19"/>
      <c r="G982" s="11"/>
      <c r="M982" s="21"/>
    </row>
    <row r="983" ht="15.75" customHeight="1">
      <c r="D983" s="19"/>
      <c r="E983" s="20"/>
      <c r="F983" s="19"/>
      <c r="G983" s="11"/>
      <c r="M983" s="21"/>
    </row>
    <row r="984" ht="15.75" customHeight="1">
      <c r="D984" s="19"/>
      <c r="E984" s="20"/>
      <c r="F984" s="19"/>
      <c r="G984" s="11"/>
      <c r="M984" s="21"/>
    </row>
    <row r="985" ht="15.75" customHeight="1">
      <c r="D985" s="19"/>
      <c r="E985" s="20"/>
      <c r="F985" s="19"/>
      <c r="G985" s="11"/>
      <c r="M985" s="21"/>
    </row>
    <row r="986" ht="15.75" customHeight="1">
      <c r="D986" s="19"/>
      <c r="E986" s="20"/>
      <c r="F986" s="19"/>
      <c r="G986" s="11"/>
      <c r="M986" s="21"/>
    </row>
    <row r="987" ht="15.75" customHeight="1">
      <c r="D987" s="19"/>
      <c r="E987" s="20"/>
      <c r="F987" s="19"/>
      <c r="G987" s="11"/>
      <c r="M987" s="21"/>
    </row>
    <row r="988" ht="15.75" customHeight="1">
      <c r="D988" s="19"/>
      <c r="E988" s="20"/>
      <c r="F988" s="19"/>
      <c r="G988" s="11"/>
      <c r="M988" s="21"/>
    </row>
    <row r="989" ht="15.75" customHeight="1">
      <c r="D989" s="19"/>
      <c r="E989" s="20"/>
      <c r="F989" s="19"/>
      <c r="G989" s="11"/>
      <c r="M989" s="21"/>
    </row>
    <row r="990" ht="15.75" customHeight="1">
      <c r="D990" s="19"/>
      <c r="E990" s="20"/>
      <c r="F990" s="19"/>
      <c r="G990" s="11"/>
      <c r="M990" s="21"/>
    </row>
    <row r="991" ht="15.75" customHeight="1">
      <c r="D991" s="19"/>
      <c r="E991" s="20"/>
      <c r="F991" s="19"/>
      <c r="G991" s="11"/>
      <c r="M991" s="21"/>
    </row>
    <row r="992" ht="15.75" customHeight="1">
      <c r="D992" s="19"/>
      <c r="E992" s="20"/>
      <c r="F992" s="19"/>
      <c r="G992" s="11"/>
      <c r="M992" s="21"/>
    </row>
    <row r="993" ht="15.75" customHeight="1">
      <c r="D993" s="19"/>
      <c r="E993" s="20"/>
      <c r="F993" s="19"/>
      <c r="G993" s="11"/>
      <c r="M993" s="21"/>
    </row>
    <row r="994" ht="15.75" customHeight="1">
      <c r="D994" s="19"/>
      <c r="E994" s="20"/>
      <c r="F994" s="19"/>
      <c r="G994" s="11"/>
      <c r="M994" s="21"/>
    </row>
    <row r="995" ht="15.75" customHeight="1">
      <c r="D995" s="19"/>
      <c r="E995" s="20"/>
      <c r="F995" s="19"/>
      <c r="G995" s="11"/>
      <c r="M995" s="21"/>
    </row>
    <row r="996" ht="15.75" customHeight="1">
      <c r="D996" s="19"/>
      <c r="E996" s="20"/>
      <c r="F996" s="19"/>
      <c r="G996" s="11"/>
      <c r="M996" s="21"/>
    </row>
    <row r="997" ht="15.75" customHeight="1">
      <c r="D997" s="19"/>
      <c r="E997" s="20"/>
      <c r="F997" s="19"/>
      <c r="G997" s="11"/>
      <c r="M997" s="21"/>
    </row>
    <row r="998" ht="15.75" customHeight="1">
      <c r="D998" s="19"/>
      <c r="E998" s="20"/>
      <c r="F998" s="19"/>
      <c r="G998" s="11"/>
      <c r="M998" s="21"/>
    </row>
    <row r="999" ht="15.75" customHeight="1">
      <c r="D999" s="19"/>
      <c r="E999" s="20"/>
      <c r="F999" s="19"/>
      <c r="G999" s="11"/>
      <c r="M999" s="21"/>
    </row>
    <row r="1000" ht="15.75" customHeight="1">
      <c r="D1000" s="19"/>
      <c r="E1000" s="20"/>
      <c r="F1000" s="19"/>
      <c r="G1000" s="11"/>
      <c r="M1000" s="21"/>
    </row>
  </sheetData>
  <autoFilter ref="$A$5:$M$48"/>
  <mergeCells count="1">
    <mergeCell ref="I3:J3"/>
  </mergeCells>
  <conditionalFormatting sqref="H5:H6">
    <cfRule type="containsText" dxfId="0" priority="1" operator="containsText" text="ordered">
      <formula>NOT(ISERROR(SEARCH(("ordered"),(H5))))</formula>
    </cfRule>
  </conditionalFormatting>
  <conditionalFormatting sqref="H5:H6">
    <cfRule type="containsText" dxfId="1" priority="2" operator="containsText" text="arrived">
      <formula>NOT(ISERROR(SEARCH(("arrived"),(H5))))</formula>
    </cfRule>
  </conditionalFormatting>
  <conditionalFormatting sqref="H5:H6">
    <cfRule type="containsText" dxfId="2" priority="3" operator="containsText" text="not ordered">
      <formula>NOT(ISERROR(SEARCH(("not ordered"),(H5))))</formula>
    </cfRule>
  </conditionalFormatting>
  <conditionalFormatting sqref="I1:I1000">
    <cfRule type="containsText" dxfId="0" priority="4" operator="containsText" text="maybe">
      <formula>NOT(ISERROR(SEARCH(("maybe"),(I1))))</formula>
    </cfRule>
  </conditionalFormatting>
  <conditionalFormatting sqref="I5:I46">
    <cfRule type="cellIs" dxfId="0" priority="5" operator="between">
      <formula>1</formula>
      <formula>100</formula>
    </cfRule>
  </conditionalFormatting>
  <conditionalFormatting sqref="I5:I46">
    <cfRule type="containsText" dxfId="0" priority="6" operator="containsText" text="some">
      <formula>NOT(ISERROR(SEARCH(("some"),(I5))))</formula>
    </cfRule>
  </conditionalFormatting>
  <conditionalFormatting sqref="I5:I46">
    <cfRule type="containsText" dxfId="2" priority="7" operator="containsText" text="no">
      <formula>NOT(ISERROR(SEARCH(("no"),(I5))))</formula>
    </cfRule>
  </conditionalFormatting>
  <conditionalFormatting sqref="I5:I46">
    <cfRule type="containsText" dxfId="1" priority="8" operator="containsText" text="yes">
      <formula>NOT(ISERROR(SEARCH(("yes"),(I5))))</formula>
    </cfRule>
  </conditionalFormatting>
  <conditionalFormatting sqref="I21">
    <cfRule type="cellIs" dxfId="0" priority="9" operator="between">
      <formula>1</formula>
      <formula>100</formula>
    </cfRule>
  </conditionalFormatting>
  <conditionalFormatting sqref="I21">
    <cfRule type="containsText" dxfId="0" priority="10" operator="containsText" text="some">
      <formula>NOT(ISERROR(SEARCH(("some"),(I21))))</formula>
    </cfRule>
  </conditionalFormatting>
  <conditionalFormatting sqref="I21">
    <cfRule type="containsText" dxfId="2" priority="11" operator="containsText" text="no">
      <formula>NOT(ISERROR(SEARCH(("no"),(I21))))</formula>
    </cfRule>
  </conditionalFormatting>
  <conditionalFormatting sqref="I21">
    <cfRule type="containsText" dxfId="1" priority="12" operator="containsText" text="yes">
      <formula>NOT(ISERROR(SEARCH(("yes"),(I21))))</formula>
    </cfRule>
  </conditionalFormatting>
  <conditionalFormatting sqref="I31">
    <cfRule type="cellIs" dxfId="0" priority="13" operator="between">
      <formula>1</formula>
      <formula>100</formula>
    </cfRule>
  </conditionalFormatting>
  <conditionalFormatting sqref="I31">
    <cfRule type="containsText" dxfId="0" priority="14" operator="containsText" text="some">
      <formula>NOT(ISERROR(SEARCH(("some"),(I31))))</formula>
    </cfRule>
  </conditionalFormatting>
  <conditionalFormatting sqref="I31">
    <cfRule type="containsText" dxfId="2" priority="15" operator="containsText" text="no">
      <formula>NOT(ISERROR(SEARCH(("no"),(I31))))</formula>
    </cfRule>
  </conditionalFormatting>
  <conditionalFormatting sqref="I31">
    <cfRule type="containsText" dxfId="1" priority="16" operator="containsText" text="yes">
      <formula>NOT(ISERROR(SEARCH(("yes"),(I31))))</formula>
    </cfRule>
  </conditionalFormatting>
  <conditionalFormatting sqref="I33:I34">
    <cfRule type="cellIs" dxfId="0" priority="17" operator="between">
      <formula>1</formula>
      <formula>100</formula>
    </cfRule>
  </conditionalFormatting>
  <conditionalFormatting sqref="I33:I34">
    <cfRule type="containsText" dxfId="0" priority="18" operator="containsText" text="some">
      <formula>NOT(ISERROR(SEARCH(("some"),(I33))))</formula>
    </cfRule>
  </conditionalFormatting>
  <conditionalFormatting sqref="I33:I34">
    <cfRule type="containsText" dxfId="2" priority="19" operator="containsText" text="no">
      <formula>NOT(ISERROR(SEARCH(("no"),(I33))))</formula>
    </cfRule>
  </conditionalFormatting>
  <conditionalFormatting sqref="I33:I34">
    <cfRule type="containsText" dxfId="1" priority="20" operator="containsText" text="yes">
      <formula>NOT(ISERROR(SEARCH(("yes"),(I33))))</formula>
    </cfRule>
  </conditionalFormatting>
  <conditionalFormatting sqref="I49:I50">
    <cfRule type="cellIs" dxfId="0" priority="21" operator="between">
      <formula>1</formula>
      <formula>100</formula>
    </cfRule>
  </conditionalFormatting>
  <conditionalFormatting sqref="I49:I50">
    <cfRule type="containsText" dxfId="0" priority="22" operator="containsText" text="some">
      <formula>NOT(ISERROR(SEARCH(("some"),(I49))))</formula>
    </cfRule>
  </conditionalFormatting>
  <conditionalFormatting sqref="I49:I50">
    <cfRule type="containsText" dxfId="2" priority="23" operator="containsText" text="no">
      <formula>NOT(ISERROR(SEARCH(("no"),(I49))))</formula>
    </cfRule>
  </conditionalFormatting>
  <conditionalFormatting sqref="I49:I50">
    <cfRule type="containsText" dxfId="1" priority="24" operator="containsText" text="yes">
      <formula>NOT(ISERROR(SEARCH(("yes"),(I49))))</formula>
    </cfRule>
  </conditionalFormatting>
  <conditionalFormatting sqref="J5:K6">
    <cfRule type="containsText" dxfId="1" priority="25" operator="containsText" text="short">
      <formula>NOT(ISERROR(SEARCH(("short"),(J5))))</formula>
    </cfRule>
  </conditionalFormatting>
  <conditionalFormatting sqref="J5:K6">
    <cfRule type="containsText" dxfId="0" priority="26" operator="containsText" text="medium">
      <formula>NOT(ISERROR(SEARCH(("medium"),(J5))))</formula>
    </cfRule>
  </conditionalFormatting>
  <conditionalFormatting sqref="J5:K6">
    <cfRule type="containsText" dxfId="2" priority="27" operator="containsText" text="long">
      <formula>NOT(ISERROR(SEARCH(("long"),(J5))))</formula>
    </cfRule>
  </conditionalFormatting>
  <conditionalFormatting sqref="K1:K1000">
    <cfRule type="containsText" dxfId="2" priority="28" stopIfTrue="1" operator="containsText" text="not ordered">
      <formula>NOT(ISERROR(SEARCH(("not ordered"),(K1))))</formula>
    </cfRule>
  </conditionalFormatting>
  <conditionalFormatting sqref="K1:K1000">
    <cfRule type="containsText" dxfId="1" priority="29" operator="containsText" text="arrived">
      <formula>NOT(ISERROR(SEARCH(("arrived"),(K1))))</formula>
    </cfRule>
  </conditionalFormatting>
  <conditionalFormatting sqref="K1:K1000">
    <cfRule type="containsText" dxfId="0" priority="30" operator="containsText" text="ordered">
      <formula>NOT(ISERROR(SEARCH(("ordered"),(K1))))</formula>
    </cfRule>
  </conditionalFormatting>
  <conditionalFormatting sqref="L5:L6">
    <cfRule type="containsText" dxfId="1" priority="31" operator="containsText" text="no">
      <formula>NOT(ISERROR(SEARCH(("no"),(L5))))</formula>
    </cfRule>
  </conditionalFormatting>
  <conditionalFormatting sqref="L5:L6">
    <cfRule type="containsText" dxfId="2" priority="32" operator="containsText" text="yes">
      <formula>NOT(ISERROR(SEARCH(("yes"),(L5))))</formula>
    </cfRule>
  </conditionalFormatting>
  <hyperlinks>
    <hyperlink r:id="rId1" location=":~:text=Cyclic%20Voltammetry%20(CV)%20is%20the,like%20the%20Gamry%20Interface%201010B. " ref="L6"/>
    <hyperlink r:id="rId2" ref="L7"/>
    <hyperlink r:id="rId3" ref="L8"/>
    <hyperlink r:id="rId4" ref="L9"/>
    <hyperlink r:id="rId5" ref="L10"/>
    <hyperlink r:id="rId6" ref="L18"/>
    <hyperlink r:id="rId7" ref="L19"/>
    <hyperlink r:id="rId8" ref="L20"/>
    <hyperlink r:id="rId9" ref="L21"/>
    <hyperlink r:id="rId10" ref="L22"/>
    <hyperlink r:id="rId11" ref="L23"/>
    <hyperlink r:id="rId12" ref="L24"/>
    <hyperlink r:id="rId13" ref="L25"/>
    <hyperlink r:id="rId14" ref="L26"/>
    <hyperlink r:id="rId15" ref="L27"/>
    <hyperlink r:id="rId16" ref="L28"/>
    <hyperlink r:id="rId17" ref="L29"/>
    <hyperlink r:id="rId18" ref="L30"/>
    <hyperlink r:id="rId19" ref="L31"/>
    <hyperlink r:id="rId20" ref="L32"/>
    <hyperlink r:id="rId21" ref="L33"/>
    <hyperlink r:id="rId22" ref="L35"/>
    <hyperlink r:id="rId23" location="_ga=2.219534233.1816599746.1680189768-672292880.1680033449 " ref="L36"/>
    <hyperlink r:id="rId24" ref="L38"/>
    <hyperlink r:id="rId25" ref="L39"/>
    <hyperlink r:id="rId26" ref="L40"/>
    <hyperlink r:id="rId27" ref="L41"/>
    <hyperlink r:id="rId28" ref="L42"/>
    <hyperlink r:id="rId29" ref="L43"/>
    <hyperlink r:id="rId30" ref="L44"/>
    <hyperlink r:id="rId31" ref="L45"/>
    <hyperlink r:id="rId32" ref="L46"/>
    <hyperlink r:id="rId33" ref="L47"/>
    <hyperlink r:id="rId34" ref="L48"/>
    <hyperlink r:id="rId35" ref="L49"/>
    <hyperlink r:id="rId36" ref="L50"/>
  </hyperlinks>
  <printOptions/>
  <pageMargins bottom="0.75" footer="0.0" header="0.0" left="0.7" right="0.7" top="0.75"/>
  <pageSetup orientation="portrait"/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2022-06-27T20:44:44Z</dcterms:created>
  <dc:creator>kyles</dc:creator>
</cp:coreProperties>
</file>